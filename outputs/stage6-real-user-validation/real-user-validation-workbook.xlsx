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45ce97b31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0c5c2d8b0c84022"/>
    <x:sheet xmlns:r="http://schemas.openxmlformats.org/officeDocument/2006/relationships" name="参与者" sheetId="2" r:id="R737165d581f1433b"/>
    <x:sheet xmlns:r="http://schemas.openxmlformats.org/officeDocument/2006/relationships" name="任务记录" sheetId="3" r:id="Rd3435f6f94f74baf"/>
    <x:sheet xmlns:r="http://schemas.openxmlformats.org/officeDocument/2006/relationships" name="Hook反馈" sheetId="4" r:id="R23441a3ce727485c"/>
    <x:sheet xmlns:r="http://schemas.openxmlformats.org/officeDocument/2006/relationships" name="指标汇总" sheetId="5" r:id="Rcc2ec1e58b7142e9"/>
    <x:sheet xmlns:r="http://schemas.openxmlformats.org/officeDocument/2006/relationships" name="数据质量" sheetId="6" r:id="R438b94169a7740ff"/>
    <x:sheet xmlns:r="http://schemas.openxmlformats.org/officeDocument/2006/relationships" name="数据字典" sheetId="7" r:id="R77bbcca1d087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yyyy-mm-dd hh:mm"/>
    <x:numFmt numFmtId="203" formatCode="0.0"/>
    <x:numFmt numFmtId="204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B7280"/>
      <x:name val="Carlito"/>
    </x:font>
    <x:font>
      <x:b/>
      <x:sz val="10"/>
      <x:color rgb="FFFFFFFF"/>
      <x:name val="Carlito"/>
    </x:font>
    <x:font>
      <x:sz val="10"/>
      <x:color rgb="FF171717"/>
      <x:name val="Carlito"/>
    </x:font>
    <x:font>
      <x:b/>
      <x:sz val="11"/>
      <x:color rgb="FFB45309"/>
      <x:name val="Carlito"/>
    </x:font>
    <x:font>
      <x:b/>
      <x:sz val="11"/>
      <x:color rgb="FFE4002B"/>
      <x:name val="Carlito"/>
    </x:font>
    <x:font>
      <x:b/>
      <x:sz val="11"/>
      <x:color rgb="FF17171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5F5F3"/>
      </x:patternFill>
    </x:fill>
    <x:fill>
      <x:patternFill patternType="solid">
        <x:fgColor rgb="FFE4002B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FDE8EC"/>
      </x:patternFill>
    </x:fill>
  </x:fills>
  <x:borders count="14">
    <x:border/>
    <x:border>
      <x:left style="thin">
        <x:color rgb="FFE4002B"/>
      </x:left>
      <x:top style="thin">
        <x:color rgb="FFE4002B"/>
      </x:top>
      <x:bottom style="thin">
        <x:color rgb="FFE4002B"/>
      </x:bottom>
    </x:border>
    <x:border>
      <x:right style="thin">
        <x:color rgb="FFE4002B"/>
      </x:right>
      <x:top style="thin">
        <x:color rgb="FFE4002B"/>
      </x:top>
      <x:bottom style="thin">
        <x:color rgb="FFE4002B"/>
      </x:bottom>
    </x:border>
    <x:border>
      <x:bottom style="thin">
        <x:color rgb="FFD6D3D1"/>
      </x:bottom>
    </x:border>
    <x:border>
      <x:top style="thin">
        <x:color rgb="FFD6D3D1"/>
      </x:top>
      <x:bottom style="thin">
        <x:color rgb="FFD6D3D1"/>
      </x:bottom>
    </x:border>
    <x:border>
      <x:left style="medium">
        <x:color rgb="FFB45309"/>
      </x:left>
      <x:top style="medium">
        <x:color rgb="FFB45309"/>
      </x:top>
    </x:border>
    <x:border>
      <x:top style="medium">
        <x:color rgb="FFB45309"/>
      </x:top>
    </x:border>
    <x:border>
      <x:right style="medium">
        <x:color rgb="FFB45309"/>
      </x:right>
      <x:top style="medium">
        <x:color rgb="FFB45309"/>
      </x:top>
    </x:border>
    <x:border>
      <x:left style="medium">
        <x:color rgb="FFB45309"/>
      </x:left>
    </x:border>
    <x:border>
      <x:right style="medium">
        <x:color rgb="FFB45309"/>
      </x:right>
    </x:border>
    <x:border>
      <x:left style="medium">
        <x:color rgb="FFB45309"/>
      </x:left>
      <x:bottom style="medium">
        <x:color rgb="FFB45309"/>
      </x:bottom>
    </x:border>
    <x:border>
      <x:bottom style="medium">
        <x:color rgb="FFB45309"/>
      </x:bottom>
    </x:border>
    <x:border>
      <x:right style="medium">
        <x:color rgb="FFB45309"/>
      </x:right>
      <x:bottom style="medium">
        <x:color rgb="FFB45309"/>
      </x:bottom>
    </x:border>
    <x:border>
      <x:top style="thin">
        <x:color rgb="FFE4002B"/>
      </x:top>
      <x:bottom style="thin">
        <x:color rgb="FFE4002B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vertical="center" wrapText="1"/>
    </x:xf>
    <x:xf numFmtId="200" fontId="4" fillId="5" borderId="3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3" fontId="4" fillId="5" borderId="3" xfId="0" applyNumberFormat="1" applyFont="1" applyFill="1" applyBorder="1" applyAlignment="1">
      <x:alignment vertical="center"/>
    </x:xf>
    <x:xf numFmtId="203" fontId="4" fillId="5" borderId="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4" fontId="4" fillId="5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E4002B"/>
      </x:font>
      <x:fill>
        <x:patternFill patternType="solid">
          <x:bgColor rgb="FFFDE8E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031bfc15e43d9" /><Relationship Type="http://schemas.openxmlformats.org/officeDocument/2006/relationships/theme" Target="/xl/theme/theme1.xml" Id="R05f2882b6a704205" /><Relationship Type="http://schemas.openxmlformats.org/officeDocument/2006/relationships/sharedStrings" Target="/xl/sharedStrings.xml" Id="Rcf35e9b4a0354c0c" /><Relationship Type="http://schemas.openxmlformats.org/officeDocument/2006/relationships/worksheet" Target="/xl/worksheets/sheet1.xml" Id="R40c5c2d8b0c84022" /><Relationship Type="http://schemas.openxmlformats.org/officeDocument/2006/relationships/worksheet" Target="/xl/worksheets/sheet2.xml" Id="R737165d581f1433b" /><Relationship Type="http://schemas.openxmlformats.org/officeDocument/2006/relationships/worksheet" Target="/xl/worksheets/sheet3.xml" Id="Rd3435f6f94f74baf" /><Relationship Type="http://schemas.openxmlformats.org/officeDocument/2006/relationships/worksheet" Target="/xl/worksheets/sheet4.xml" Id="R23441a3ce727485c" /><Relationship Type="http://schemas.openxmlformats.org/officeDocument/2006/relationships/worksheet" Target="/xl/worksheets/sheet5.xml" Id="Rcc2ec1e58b7142e9" /><Relationship Type="http://schemas.openxmlformats.org/officeDocument/2006/relationships/worksheet" Target="/xl/worksheets/sheet6.xml" Id="R438b94169a7740ff" /><Relationship Type="http://schemas.openxmlformats.org/officeDocument/2006/relationships/worksheet" Target="/xl/worksheets/sheet7.xml" Id="R77bbcca1d0874b8c" /></Relationships>
</file>

<file path=xl/tables/table1.xml><?xml version="1.0" encoding="utf-8"?>
<x:table xmlns:x="http://schemas.openxmlformats.org/spreadsheetml/2006/main" id="1" name="ParticipantsTable" displayName="ParticipantsTable" ref="A4:K24" headerRowCount="1" totalsRowCount="0" totalsRowShown="0">
  <x:autoFilter ref="A4:K24"/>
  <x:tableColumns count="11">
    <x:tableColumn id="1" name="participant_id"/>
    <x:tableColumn id="2" name="screening_status"/>
    <x:tableColumn id="3" name="consent_status"/>
    <x:tableColumn id="4" name="primary_platform"/>
    <x:tableColumn id="5" name="primary_content_type"/>
    <x:tableColumn id="6" name="recent_publish_count_30d"/>
    <x:tableColumn id="7" name="study_date"/>
    <x:tableColumn id="8" name="withdrawal_status"/>
    <x:tableColumn id="9" name="pii_check"/>
    <x:tableColumn id="10" name="operator_note_code"/>
    <x:tableColumn id="11" name="duplicate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Table" displayName="TasksTable" ref="A4:AA104" headerRowCount="1" totalsRowCount="0" totalsRowShown="0">
  <x:autoFilter ref="A4:AA104"/>
  <x:tableColumns count="27">
    <x:tableColumn id="1" name="task_id"/>
    <x:tableColumn id="2" name="participant_id"/>
    <x:tableColumn id="3" name="data_origin"/>
    <x:tableColumn id="4" name="started_at"/>
    <x:tableColumn id="5" name="completed_at"/>
    <x:tableColumn id="6" name="prompt_version"/>
    <x:tableColumn id="7" name="platform"/>
    <x:tableColumn id="8" name="content_type"/>
    <x:tableColumn id="9" name="candidate_count_shown"/>
    <x:tableColumn id="10" name="generation_started"/>
    <x:tableColumn id="11" name="generation_completed"/>
    <x:tableColumn id="12" name="full_candidates_seen"/>
    <x:tableColumn id="13" name="task_completed"/>
    <x:tableColumn id="14" name="selected_hook_id"/>
    <x:tableColumn id="15" name="usage_outcome"/>
    <x:tableColumn id="16" name="feedback_submitted"/>
    <x:tableColumn id="17" name="comparison_burden_score"/>
    <x:tableColumn id="18" name="decision_time_seconds"/>
    <x:tableColumn id="19" name="publish_followup_authorized"/>
    <x:tableColumn id="20" name="publish_confirmed"/>
    <x:tableColumn id="21" name="exclusion_reason"/>
    <x:tableColumn id="22" name="bad_case_tags"/>
    <x:tableColumn id="23" name="duration_minutes"/>
    <x:tableColumn id="24" name="task_valid"/>
    <x:tableColumn id="25" name="duplicate_task_id"/>
    <x:tableColumn id="26" name="participant_reference_valid"/>
    <x:tableColumn id="27" name="selected_hook_consist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oksTable" displayName="HooksTable" ref="A4:L504" headerRowCount="1" totalsRowCount="0" totalsRowShown="0">
  <x:autoFilter ref="A4:L504"/>
  <x:tableColumns count="12">
    <x:tableColumn id="1" name="hook_id"/>
    <x:tableColumn id="2" name="task_id"/>
    <x:tableColumn id="3" name="position"/>
    <x:tableColumn id="4" name="favorited"/>
    <x:tableColumn id="5" name="selected"/>
    <x:tableColumn id="6" name="bad_case_tags"/>
    <x:tableColumn id="7" name="guardrail_triggered"/>
    <x:tableColumn id="8" name="guardrail_type"/>
    <x:tableColumn id="9" name="duplicate_hook_id"/>
    <x:tableColumn id="10" name="task_reference_valid"/>
    <x:tableColumn id="11" name="selected_count_in_task"/>
    <x:tableColumn id="12" name="row_val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989d62b8594f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90a27e3e024f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f1f1ace3d049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1" ht="34" customHeight="1">
      <x:c r="A1" s="3" t="str">
        <x:v>AI Hook Lab 真实用户验证工作簿</x:v>
      </x:c>
      <x:c r="B1" s="3" t="str">
        <x:v>AI Hook Lab 真实用户验证工作簿</x:v>
      </x:c>
      <x:c r="C1" s="3" t="str">
        <x:v>AI Hook Lab 真实用户验证工作簿</x:v>
      </x:c>
      <x:c r="D1" s="3" t="str">
        <x:v>AI Hook Lab 真实用户验证工作簿</x:v>
      </x:c>
      <x:c r="E1" s="3" t="str">
        <x:v>AI Hook Lab 真实用户验证工作簿</x:v>
      </x:c>
      <x:c r="F1" s="3" t="str">
        <x:v>AI Hook Lab 真实用户验证工作簿</x:v>
      </x:c>
      <x:c r="G1" s="3" t="str">
        <x:v>AI Hook Lab 真实用户验证工作簿</x:v>
      </x:c>
      <x:c r="H1" s="3" t="str">
        <x:v>AI Hook Lab 真实用户验证工作簿</x:v>
      </x:c>
    </x:row>
    <x:row r="2" ht="30" customHeight="1">
      <x:c r="A2" s="7" t="str">
        <x:v>空白模板｜不包含真实参与者、任务或结果。只有完成脱敏复核后，工作簿数据才能进入公开证据链。</x:v>
      </x:c>
      <x:c r="B2" s="7" t="str">
        <x:v>空白模板｜不包含真实参与者、任务或结果。只有完成脱敏复核后，工作簿数据才能进入公开证据链。</x:v>
      </x:c>
      <x:c r="C2" s="7" t="str">
        <x:v>空白模板｜不包含真实参与者、任务或结果。只有完成脱敏复核后，工作簿数据才能进入公开证据链。</x:v>
      </x:c>
      <x:c r="D2" s="7" t="str">
        <x:v>空白模板｜不包含真实参与者、任务或结果。只有完成脱敏复核后，工作簿数据才能进入公开证据链。</x:v>
      </x:c>
      <x:c r="E2" s="7" t="str">
        <x:v>空白模板｜不包含真实参与者、任务或结果。只有完成脱敏复核后，工作簿数据才能进入公开证据链。</x:v>
      </x:c>
      <x:c r="F2" s="7" t="str">
        <x:v>空白模板｜不包含真实参与者、任务或结果。只有完成脱敏复核后，工作簿数据才能进入公开证据链。</x:v>
      </x:c>
      <x:c r="G2" s="7" t="str">
        <x:v>空白模板｜不包含真实参与者、任务或结果。只有完成脱敏复核后，工作簿数据才能进入公开证据链。</x:v>
      </x:c>
      <x:c r="H2" s="7" t="str">
        <x:v>空白模板｜不包含真实参与者、任务或结果。只有完成脱敏复核后，工作簿数据才能进入公开证据链。</x:v>
      </x:c>
    </x:row>
    <x:row r="4" ht="32" customHeight="1">
      <x:c r="A4" s="14" t="str">
        <x:v>项目</x:v>
      </x:c>
      <x:c r="B4" s="15" t="str">
        <x:v>执行要求</x:v>
      </x:c>
    </x:row>
    <x:row r="5">
      <x:c r="A5" s="20" t="str">
        <x:v>研究目标</x:v>
      </x:c>
      <x:c r="B5" s="22" t="str">
        <x:v>验证多候选比较是否帮助创作者完成选择、改写与使用确认，不验证所谓爆款效果。</x:v>
      </x:c>
    </x:row>
    <x:row r="6">
      <x:c r="A6" s="21" t="str">
        <x:v>目标样本</x:v>
      </x:c>
      <x:c r="B6" s="23" t="str">
        <x:v>5–8 名近 30 天至少发布 3 次内容的创作者；累计不少于 30 个有效完成任务。</x:v>
      </x:c>
    </x:row>
    <x:row r="7">
      <x:c r="A7" s="21" t="str">
        <x:v>数据来源</x:v>
      </x:c>
      <x:c r="B7" s="23" t="str">
        <x:v>任务记录必须为 real_user；evaluation_set 与 simulation 不得录入本工作簿。</x:v>
      </x:c>
    </x:row>
    <x:row r="8">
      <x:c r="A8" s="21" t="str">
        <x:v>隐私边界</x:v>
      </x:c>
      <x:c r="B8" s="23" t="str">
        <x:v>只使用匿名编码；禁止姓名、手机号、邮箱、账号口令、原始敏感主题和未授权文案。</x:v>
      </x:c>
    </x:row>
    <x:row r="9">
      <x:c r="A9" s="21" t="str">
        <x:v>填写顺序</x:v>
      </x:c>
      <x:c r="B9" s="23" t="str">
        <x:v>先填写参与者，再填写任务记录，最后填写逐 Hook 反馈；指标汇总和数据质量自动计算。</x:v>
      </x:c>
    </x:row>
    <x:row r="10">
      <x:c r="A10" s="21" t="str">
        <x:v>退出处理</x:v>
      </x:c>
      <x:c r="B10" s="23" t="str">
        <x:v>参与者退出后将 withdrawal_status 标记为 withdrawn，并按知情同意约定删除尚未匿名化的原始材料。</x:v>
      </x:c>
    </x:row>
    <x:row r="11">
      <x:c r="A11" s="21" t="str">
        <x:v>指标边界</x:v>
      </x:c>
      <x:c r="B11" s="23" t="str">
        <x:v>少于 30 个有效完成任务时只报告观察和整数计数，不形成稳定比例或 Prompt 升级结论。</x:v>
      </x:c>
    </x:row>
    <x:row r="12">
      <x:c r="A12" s="21" t="str">
        <x:v>发布追踪</x:v>
      </x:c>
      <x:c r="B12" s="23" t="str">
        <x:v>只有 publish_followup_authorized=true 的任务进入实际发布采用率分母。</x:v>
      </x:c>
    </x:row>
    <x:row r="13">
      <x:c r="A13" s="21" t="str">
        <x:v>公开前检查</x:v>
      </x:c>
      <x:c r="B13" s="23" t="str">
        <x:v>数据质量页全部通过；由产品负责人核对反例、分子分母、排除条件、时间范围和样本量。</x:v>
      </x:c>
    </x:row>
    <x:row r="14">
      <x:c r="A14" s="21" t="str">
        <x:v>CSV 兼容</x:v>
      </x:c>
      <x:c r="B14" s="23" t="str">
        <x:v>逐 Hook 公开记录仍按 docs/evidence/data/README.md 的固定表头导出并运行 npm run evidence:controlled。</x:v>
      </x:c>
    </x:row>
    <x:row r="16">
      <x:c r="A16" s="43" t="str">
        <x:v>重要：本工作簿的空白状态、公式和预留行都不是研究结果。不得为了满足样本门槛而补造参与者、任务、选择、收藏、使用方式或发布确认。</x:v>
      </x:c>
      <x:c r="B16" s="44" t="str">
        <x:v>重要：本工作簿的空白状态、公式和预留行都不是研究结果。不得为了满足样本门槛而补造参与者、任务、选择、收藏、使用方式或发布确认。</x:v>
      </x:c>
      <x:c r="C16" s="44" t="str">
        <x:v>重要：本工作簿的空白状态、公式和预留行都不是研究结果。不得为了满足样本门槛而补造参与者、任务、选择、收藏、使用方式或发布确认。</x:v>
      </x:c>
      <x:c r="D16" s="44" t="str">
        <x:v>重要：本工作簿的空白状态、公式和预留行都不是研究结果。不得为了满足样本门槛而补造参与者、任务、选择、收藏、使用方式或发布确认。</x:v>
      </x:c>
      <x:c r="E16" s="44" t="str">
        <x:v>重要：本工作簿的空白状态、公式和预留行都不是研究结果。不得为了满足样本门槛而补造参与者、任务、选择、收藏、使用方式或发布确认。</x:v>
      </x:c>
      <x:c r="F16" s="44" t="str">
        <x:v>重要：本工作簿的空白状态、公式和预留行都不是研究结果。不得为了满足样本门槛而补造参与者、任务、选择、收藏、使用方式或发布确认。</x:v>
      </x:c>
      <x:c r="G16" s="44" t="str">
        <x:v>重要：本工作簿的空白状态、公式和预留行都不是研究结果。不得为了满足样本门槛而补造参与者、任务、选择、收藏、使用方式或发布确认。</x:v>
      </x:c>
      <x:c r="H16" s="45" t="str">
        <x:v>重要：本工作簿的空白状态、公式和预留行都不是研究结果。不得为了满足样本门槛而补造参与者、任务、选择、收藏、使用方式或发布确认。</x:v>
      </x:c>
    </x:row>
    <x:row r="17">
      <x:c r="A17" s="46" t="str">
        <x:v>重要：本工作簿的空白状态、公式和预留行都不是研究结果。不得为了满足样本门槛而补造参与者、任务、选择、收藏、使用方式或发布确认。</x:v>
      </x:c>
      <x:c r="B17" s="47" t="str">
        <x:v>重要：本工作簿的空白状态、公式和预留行都不是研究结果。不得为了满足样本门槛而补造参与者、任务、选择、收藏、使用方式或发布确认。</x:v>
      </x:c>
      <x:c r="C17" s="47" t="str">
        <x:v>重要：本工作簿的空白状态、公式和预留行都不是研究结果。不得为了满足样本门槛而补造参与者、任务、选择、收藏、使用方式或发布确认。</x:v>
      </x:c>
      <x:c r="D17" s="47" t="str">
        <x:v>重要：本工作簿的空白状态、公式和预留行都不是研究结果。不得为了满足样本门槛而补造参与者、任务、选择、收藏、使用方式或发布确认。</x:v>
      </x:c>
      <x:c r="E17" s="47" t="str">
        <x:v>重要：本工作簿的空白状态、公式和预留行都不是研究结果。不得为了满足样本门槛而补造参与者、任务、选择、收藏、使用方式或发布确认。</x:v>
      </x:c>
      <x:c r="F17" s="47" t="str">
        <x:v>重要：本工作簿的空白状态、公式和预留行都不是研究结果。不得为了满足样本门槛而补造参与者、任务、选择、收藏、使用方式或发布确认。</x:v>
      </x:c>
      <x:c r="G17" s="47" t="str">
        <x:v>重要：本工作簿的空白状态、公式和预留行都不是研究结果。不得为了满足样本门槛而补造参与者、任务、选择、收藏、使用方式或发布确认。</x:v>
      </x:c>
      <x:c r="H17" s="48" t="str">
        <x:v>重要：本工作簿的空白状态、公式和预留行都不是研究结果。不得为了满足样本门槛而补造参与者、任务、选择、收藏、使用方式或发布确认。</x:v>
      </x:c>
    </x:row>
    <x:row r="18">
      <x:c r="A18" s="46" t="str">
        <x:v>重要：本工作簿的空白状态、公式和预留行都不是研究结果。不得为了满足样本门槛而补造参与者、任务、选择、收藏、使用方式或发布确认。</x:v>
      </x:c>
      <x:c r="B18" s="47" t="str">
        <x:v>重要：本工作簿的空白状态、公式和预留行都不是研究结果。不得为了满足样本门槛而补造参与者、任务、选择、收藏、使用方式或发布确认。</x:v>
      </x:c>
      <x:c r="C18" s="47" t="str">
        <x:v>重要：本工作簿的空白状态、公式和预留行都不是研究结果。不得为了满足样本门槛而补造参与者、任务、选择、收藏、使用方式或发布确认。</x:v>
      </x:c>
      <x:c r="D18" s="47" t="str">
        <x:v>重要：本工作簿的空白状态、公式和预留行都不是研究结果。不得为了满足样本门槛而补造参与者、任务、选择、收藏、使用方式或发布确认。</x:v>
      </x:c>
      <x:c r="E18" s="47" t="str">
        <x:v>重要：本工作簿的空白状态、公式和预留行都不是研究结果。不得为了满足样本门槛而补造参与者、任务、选择、收藏、使用方式或发布确认。</x:v>
      </x:c>
      <x:c r="F18" s="47" t="str">
        <x:v>重要：本工作簿的空白状态、公式和预留行都不是研究结果。不得为了满足样本门槛而补造参与者、任务、选择、收藏、使用方式或发布确认。</x:v>
      </x:c>
      <x:c r="G18" s="47" t="str">
        <x:v>重要：本工作簿的空白状态、公式和预留行都不是研究结果。不得为了满足样本门槛而补造参与者、任务、选择、收藏、使用方式或发布确认。</x:v>
      </x:c>
      <x:c r="H18" s="48" t="str">
        <x:v>重要：本工作簿的空白状态、公式和预留行都不是研究结果。不得为了满足样本门槛而补造参与者、任务、选择、收藏、使用方式或发布确认。</x:v>
      </x:c>
    </x:row>
    <x:row r="19">
      <x:c r="A19" s="46" t="str">
        <x:v>重要：本工作簿的空白状态、公式和预留行都不是研究结果。不得为了满足样本门槛而补造参与者、任务、选择、收藏、使用方式或发布确认。</x:v>
      </x:c>
      <x:c r="B19" s="47" t="str">
        <x:v>重要：本工作簿的空白状态、公式和预留行都不是研究结果。不得为了满足样本门槛而补造参与者、任务、选择、收藏、使用方式或发布确认。</x:v>
      </x:c>
      <x:c r="C19" s="47" t="str">
        <x:v>重要：本工作簿的空白状态、公式和预留行都不是研究结果。不得为了满足样本门槛而补造参与者、任务、选择、收藏、使用方式或发布确认。</x:v>
      </x:c>
      <x:c r="D19" s="47" t="str">
        <x:v>重要：本工作簿的空白状态、公式和预留行都不是研究结果。不得为了满足样本门槛而补造参与者、任务、选择、收藏、使用方式或发布确认。</x:v>
      </x:c>
      <x:c r="E19" s="47" t="str">
        <x:v>重要：本工作簿的空白状态、公式和预留行都不是研究结果。不得为了满足样本门槛而补造参与者、任务、选择、收藏、使用方式或发布确认。</x:v>
      </x:c>
      <x:c r="F19" s="47" t="str">
        <x:v>重要：本工作簿的空白状态、公式和预留行都不是研究结果。不得为了满足样本门槛而补造参与者、任务、选择、收藏、使用方式或发布确认。</x:v>
      </x:c>
      <x:c r="G19" s="47" t="str">
        <x:v>重要：本工作簿的空白状态、公式和预留行都不是研究结果。不得为了满足样本门槛而补造参与者、任务、选择、收藏、使用方式或发布确认。</x:v>
      </x:c>
      <x:c r="H19" s="48" t="str">
        <x:v>重要：本工作簿的空白状态、公式和预留行都不是研究结果。不得为了满足样本门槛而补造参与者、任务、选择、收藏、使用方式或发布确认。</x:v>
      </x:c>
    </x:row>
    <x:row r="20">
      <x:c r="A20" s="49" t="str">
        <x:v>重要：本工作簿的空白状态、公式和预留行都不是研究结果。不得为了满足样本门槛而补造参与者、任务、选择、收藏、使用方式或发布确认。</x:v>
      </x:c>
      <x:c r="B20" s="50" t="str">
        <x:v>重要：本工作簿的空白状态、公式和预留行都不是研究结果。不得为了满足样本门槛而补造参与者、任务、选择、收藏、使用方式或发布确认。</x:v>
      </x:c>
      <x:c r="C20" s="50" t="str">
        <x:v>重要：本工作簿的空白状态、公式和预留行都不是研究结果。不得为了满足样本门槛而补造参与者、任务、选择、收藏、使用方式或发布确认。</x:v>
      </x:c>
      <x:c r="D20" s="50" t="str">
        <x:v>重要：本工作簿的空白状态、公式和预留行都不是研究结果。不得为了满足样本门槛而补造参与者、任务、选择、收藏、使用方式或发布确认。</x:v>
      </x:c>
      <x:c r="E20" s="50" t="str">
        <x:v>重要：本工作簿的空白状态、公式和预留行都不是研究结果。不得为了满足样本门槛而补造参与者、任务、选择、收藏、使用方式或发布确认。</x:v>
      </x:c>
      <x:c r="F20" s="50" t="str">
        <x:v>重要：本工作簿的空白状态、公式和预留行都不是研究结果。不得为了满足样本门槛而补造参与者、任务、选择、收藏、使用方式或发布确认。</x:v>
      </x:c>
      <x:c r="G20" s="50" t="str">
        <x:v>重要：本工作簿的空白状态、公式和预留行都不是研究结果。不得为了满足样本门槛而补造参与者、任务、选择、收藏、使用方式或发布确认。</x:v>
      </x:c>
      <x:c r="H20" s="51" t="str">
        <x:v>重要：本工作簿的空白状态、公式和预留行都不是研究结果。不得为了满足样本门槛而补造参与者、任务、选择、收藏、使用方式或发布确认。</x:v>
      </x:c>
    </x:row>
  </x:sheetData>
  <x:mergeCells>
    <x:mergeCell ref="A1:H1"/>
    <x:mergeCell ref="A2:H2"/>
    <x:mergeCell ref="A16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24" hidden="0" customWidth="1"/>
    <x:col min="11" max="11" width="14" hidden="0" customWidth="1"/>
  </x:cols>
  <x:sheetData>
    <x:row r="1" ht="34" customHeight="1">
      <x:c r="A1" s="3" t="str">
        <x:v>参与者筛选与同意</x:v>
      </x:c>
      <x:c r="B1" s="3" t="str">
        <x:v>参与者筛选与同意</x:v>
      </x:c>
      <x:c r="C1" s="3" t="str">
        <x:v>参与者筛选与同意</x:v>
      </x:c>
      <x:c r="D1" s="3" t="str">
        <x:v>参与者筛选与同意</x:v>
      </x:c>
      <x:c r="E1" s="3" t="str">
        <x:v>参与者筛选与同意</x:v>
      </x:c>
      <x:c r="F1" s="3" t="str">
        <x:v>参与者筛选与同意</x:v>
      </x:c>
      <x:c r="G1" s="3" t="str">
        <x:v>参与者筛选与同意</x:v>
      </x:c>
      <x:c r="H1" s="3" t="str">
        <x:v>参与者筛选与同意</x:v>
      </x:c>
      <x:c r="I1" s="3" t="str">
        <x:v>参与者筛选与同意</x:v>
      </x:c>
      <x:c r="J1" s="3" t="str">
        <x:v>参与者筛选与同意</x:v>
      </x:c>
      <x:c r="K1" s="3" t="str">
        <x:v>参与者筛选与同意</x:v>
      </x:c>
    </x:row>
    <x:row r="2" ht="30" customHeight="1">
      <x:c r="A2" s="7" t="str">
        <x:v>每行一名匿名参与者。禁止在任何单元格填写可直接识别个人身份的信息。</x:v>
      </x:c>
      <x:c r="B2" s="7" t="str">
        <x:v>每行一名匿名参与者。禁止在任何单元格填写可直接识别个人身份的信息。</x:v>
      </x:c>
      <x:c r="C2" s="7" t="str">
        <x:v>每行一名匿名参与者。禁止在任何单元格填写可直接识别个人身份的信息。</x:v>
      </x:c>
      <x:c r="D2" s="7" t="str">
        <x:v>每行一名匿名参与者。禁止在任何单元格填写可直接识别个人身份的信息。</x:v>
      </x:c>
      <x:c r="E2" s="7" t="str">
        <x:v>每行一名匿名参与者。禁止在任何单元格填写可直接识别个人身份的信息。</x:v>
      </x:c>
      <x:c r="F2" s="7" t="str">
        <x:v>每行一名匿名参与者。禁止在任何单元格填写可直接识别个人身份的信息。</x:v>
      </x:c>
      <x:c r="G2" s="7" t="str">
        <x:v>每行一名匿名参与者。禁止在任何单元格填写可直接识别个人身份的信息。</x:v>
      </x:c>
      <x:c r="H2" s="7" t="str">
        <x:v>每行一名匿名参与者。禁止在任何单元格填写可直接识别个人身份的信息。</x:v>
      </x:c>
      <x:c r="I2" s="7" t="str">
        <x:v>每行一名匿名参与者。禁止在任何单元格填写可直接识别个人身份的信息。</x:v>
      </x:c>
      <x:c r="J2" s="7" t="str">
        <x:v>每行一名匿名参与者。禁止在任何单元格填写可直接识别个人身份的信息。</x:v>
      </x:c>
      <x:c r="K2" s="7" t="str">
        <x:v>每行一名匿名参与者。禁止在任何单元格填写可直接识别个人身份的信息。</x:v>
      </x:c>
    </x:row>
    <x:row r="4" ht="32" customHeight="1">
      <x:c r="A4" s="14" t="str">
        <x:v>participant_id</x:v>
      </x:c>
      <x:c r="B4" s="54" t="str">
        <x:v>screening_status</x:v>
      </x:c>
      <x:c r="C4" s="54" t="str">
        <x:v>consent_status</x:v>
      </x:c>
      <x:c r="D4" s="54" t="str">
        <x:v>primary_platform</x:v>
      </x:c>
      <x:c r="E4" s="54" t="str">
        <x:v>primary_content_type</x:v>
      </x:c>
      <x:c r="F4" s="54" t="str">
        <x:v>recent_publish_count_30d</x:v>
      </x:c>
      <x:c r="G4" s="54" t="str">
        <x:v>study_date</x:v>
      </x:c>
      <x:c r="H4" s="54" t="str">
        <x:v>withdrawal_status</x:v>
      </x:c>
      <x:c r="I4" s="54" t="str">
        <x:v>pii_check</x:v>
      </x:c>
      <x:c r="J4" s="54" t="str">
        <x:v>operator_note_code</x:v>
      </x:c>
      <x:c r="K4" s="15" t="str">
        <x:v>duplicate_id</x:v>
      </x:c>
    </x:row>
    <x:row r="5">
      <x:c r="A5" s="20"/>
      <x:c r="B5" s="20"/>
      <x:c r="C5" s="20"/>
      <x:c r="D5" s="20"/>
      <x:c r="E5" s="20"/>
      <x:c r="F5" s="55"/>
      <x:c r="G5" s="57"/>
      <x:c r="H5" s="20"/>
      <x:c r="I5" s="20"/>
      <x:c r="J5" s="20"/>
      <x:c r="K5" s="20" t="str">
        <x:f>IF(A5="","",COUNTIF($A$5:$A$24,A5)&gt;1)</x:f>
      </x:c>
    </x:row>
    <x:row r="6">
      <x:c r="A6" s="21"/>
      <x:c r="B6" s="21"/>
      <x:c r="C6" s="21"/>
      <x:c r="D6" s="21"/>
      <x:c r="E6" s="21"/>
      <x:c r="F6" s="56"/>
      <x:c r="G6" s="58"/>
      <x:c r="H6" s="21"/>
      <x:c r="I6" s="21"/>
      <x:c r="J6" s="21"/>
      <x:c r="K6" s="21" t="str">
        <x:f>IF(A6="","",COUNTIF($A$5:$A$24,A6)&gt;1)</x:f>
      </x:c>
    </x:row>
    <x:row r="7">
      <x:c r="A7" s="21"/>
      <x:c r="B7" s="21"/>
      <x:c r="C7" s="21"/>
      <x:c r="D7" s="21"/>
      <x:c r="E7" s="21"/>
      <x:c r="F7" s="56"/>
      <x:c r="G7" s="58"/>
      <x:c r="H7" s="21"/>
      <x:c r="I7" s="21"/>
      <x:c r="J7" s="21"/>
      <x:c r="K7" s="21" t="str">
        <x:f>IF(A7="","",COUNTIF($A$5:$A$24,A7)&gt;1)</x:f>
      </x:c>
    </x:row>
    <x:row r="8">
      <x:c r="A8" s="21"/>
      <x:c r="B8" s="21"/>
      <x:c r="C8" s="21"/>
      <x:c r="D8" s="21"/>
      <x:c r="E8" s="21"/>
      <x:c r="F8" s="56"/>
      <x:c r="G8" s="58"/>
      <x:c r="H8" s="21"/>
      <x:c r="I8" s="21"/>
      <x:c r="J8" s="21"/>
      <x:c r="K8" s="21" t="str">
        <x:f>IF(A8="","",COUNTIF($A$5:$A$24,A8)&gt;1)</x:f>
      </x:c>
    </x:row>
    <x:row r="9">
      <x:c r="A9" s="21"/>
      <x:c r="B9" s="21"/>
      <x:c r="C9" s="21"/>
      <x:c r="D9" s="21"/>
      <x:c r="E9" s="21"/>
      <x:c r="F9" s="56"/>
      <x:c r="G9" s="58"/>
      <x:c r="H9" s="21"/>
      <x:c r="I9" s="21"/>
      <x:c r="J9" s="21"/>
      <x:c r="K9" s="21" t="str">
        <x:f>IF(A9="","",COUNTIF($A$5:$A$24,A9)&gt;1)</x:f>
      </x:c>
    </x:row>
    <x:row r="10">
      <x:c r="A10" s="21"/>
      <x:c r="B10" s="21"/>
      <x:c r="C10" s="21"/>
      <x:c r="D10" s="21"/>
      <x:c r="E10" s="21"/>
      <x:c r="F10" s="56"/>
      <x:c r="G10" s="58"/>
      <x:c r="H10" s="21"/>
      <x:c r="I10" s="21"/>
      <x:c r="J10" s="21"/>
      <x:c r="K10" s="21" t="str">
        <x:f>IF(A10="","",COUNTIF($A$5:$A$24,A10)&gt;1)</x:f>
      </x:c>
    </x:row>
    <x:row r="11">
      <x:c r="A11" s="21"/>
      <x:c r="B11" s="21"/>
      <x:c r="C11" s="21"/>
      <x:c r="D11" s="21"/>
      <x:c r="E11" s="21"/>
      <x:c r="F11" s="56"/>
      <x:c r="G11" s="58"/>
      <x:c r="H11" s="21"/>
      <x:c r="I11" s="21"/>
      <x:c r="J11" s="21"/>
      <x:c r="K11" s="21" t="str">
        <x:f>IF(A11="","",COUNTIF($A$5:$A$24,A11)&gt;1)</x:f>
      </x:c>
    </x:row>
    <x:row r="12">
      <x:c r="A12" s="21"/>
      <x:c r="B12" s="21"/>
      <x:c r="C12" s="21"/>
      <x:c r="D12" s="21"/>
      <x:c r="E12" s="21"/>
      <x:c r="F12" s="56"/>
      <x:c r="G12" s="58"/>
      <x:c r="H12" s="21"/>
      <x:c r="I12" s="21"/>
      <x:c r="J12" s="21"/>
      <x:c r="K12" s="21" t="str">
        <x:f>IF(A12="","",COUNTIF($A$5:$A$24,A12)&gt;1)</x:f>
      </x:c>
    </x:row>
    <x:row r="13">
      <x:c r="A13" s="21"/>
      <x:c r="B13" s="21"/>
      <x:c r="C13" s="21"/>
      <x:c r="D13" s="21"/>
      <x:c r="E13" s="21"/>
      <x:c r="F13" s="56"/>
      <x:c r="G13" s="58"/>
      <x:c r="H13" s="21"/>
      <x:c r="I13" s="21"/>
      <x:c r="J13" s="21"/>
      <x:c r="K13" s="21" t="str">
        <x:f>IF(A13="","",COUNTIF($A$5:$A$24,A13)&gt;1)</x:f>
      </x:c>
    </x:row>
    <x:row r="14">
      <x:c r="A14" s="21"/>
      <x:c r="B14" s="21"/>
      <x:c r="C14" s="21"/>
      <x:c r="D14" s="21"/>
      <x:c r="E14" s="21"/>
      <x:c r="F14" s="56"/>
      <x:c r="G14" s="58"/>
      <x:c r="H14" s="21"/>
      <x:c r="I14" s="21"/>
      <x:c r="J14" s="21"/>
      <x:c r="K14" s="21" t="str">
        <x:f>IF(A14="","",COUNTIF($A$5:$A$24,A14)&gt;1)</x:f>
      </x:c>
    </x:row>
    <x:row r="15">
      <x:c r="A15" s="21"/>
      <x:c r="B15" s="21"/>
      <x:c r="C15" s="21"/>
      <x:c r="D15" s="21"/>
      <x:c r="E15" s="21"/>
      <x:c r="F15" s="56"/>
      <x:c r="G15" s="58"/>
      <x:c r="H15" s="21"/>
      <x:c r="I15" s="21"/>
      <x:c r="J15" s="21"/>
      <x:c r="K15" s="21" t="str">
        <x:f>IF(A15="","",COUNTIF($A$5:$A$24,A15)&gt;1)</x:f>
      </x:c>
    </x:row>
    <x:row r="16">
      <x:c r="A16" s="21"/>
      <x:c r="B16" s="21"/>
      <x:c r="C16" s="21"/>
      <x:c r="D16" s="21"/>
      <x:c r="E16" s="21"/>
      <x:c r="F16" s="56"/>
      <x:c r="G16" s="58"/>
      <x:c r="H16" s="21"/>
      <x:c r="I16" s="21"/>
      <x:c r="J16" s="21"/>
      <x:c r="K16" s="21" t="str">
        <x:f>IF(A16="","",COUNTIF($A$5:$A$24,A16)&gt;1)</x:f>
      </x:c>
    </x:row>
    <x:row r="17">
      <x:c r="A17" s="21"/>
      <x:c r="B17" s="21"/>
      <x:c r="C17" s="21"/>
      <x:c r="D17" s="21"/>
      <x:c r="E17" s="21"/>
      <x:c r="F17" s="56"/>
      <x:c r="G17" s="58"/>
      <x:c r="H17" s="21"/>
      <x:c r="I17" s="21"/>
      <x:c r="J17" s="21"/>
      <x:c r="K17" s="21" t="str">
        <x:f>IF(A17="","",COUNTIF($A$5:$A$24,A17)&gt;1)</x:f>
      </x:c>
    </x:row>
    <x:row r="18">
      <x:c r="A18" s="21"/>
      <x:c r="B18" s="21"/>
      <x:c r="C18" s="21"/>
      <x:c r="D18" s="21"/>
      <x:c r="E18" s="21"/>
      <x:c r="F18" s="56"/>
      <x:c r="G18" s="58"/>
      <x:c r="H18" s="21"/>
      <x:c r="I18" s="21"/>
      <x:c r="J18" s="21"/>
      <x:c r="K18" s="21" t="str">
        <x:f>IF(A18="","",COUNTIF($A$5:$A$24,A18)&gt;1)</x:f>
      </x:c>
    </x:row>
    <x:row r="19">
      <x:c r="A19" s="21"/>
      <x:c r="B19" s="21"/>
      <x:c r="C19" s="21"/>
      <x:c r="D19" s="21"/>
      <x:c r="E19" s="21"/>
      <x:c r="F19" s="56"/>
      <x:c r="G19" s="58"/>
      <x:c r="H19" s="21"/>
      <x:c r="I19" s="21"/>
      <x:c r="J19" s="21"/>
      <x:c r="K19" s="21" t="str">
        <x:f>IF(A19="","",COUNTIF($A$5:$A$24,A19)&gt;1)</x:f>
      </x:c>
    </x:row>
    <x:row r="20">
      <x:c r="A20" s="21"/>
      <x:c r="B20" s="21"/>
      <x:c r="C20" s="21"/>
      <x:c r="D20" s="21"/>
      <x:c r="E20" s="21"/>
      <x:c r="F20" s="56"/>
      <x:c r="G20" s="58"/>
      <x:c r="H20" s="21"/>
      <x:c r="I20" s="21"/>
      <x:c r="J20" s="21"/>
      <x:c r="K20" s="21" t="str">
        <x:f>IF(A20="","",COUNTIF($A$5:$A$24,A20)&gt;1)</x:f>
      </x:c>
    </x:row>
    <x:row r="21">
      <x:c r="A21" s="21"/>
      <x:c r="B21" s="21"/>
      <x:c r="C21" s="21"/>
      <x:c r="D21" s="21"/>
      <x:c r="E21" s="21"/>
      <x:c r="F21" s="56"/>
      <x:c r="G21" s="58"/>
      <x:c r="H21" s="21"/>
      <x:c r="I21" s="21"/>
      <x:c r="J21" s="21"/>
      <x:c r="K21" s="21" t="str">
        <x:f>IF(A21="","",COUNTIF($A$5:$A$24,A21)&gt;1)</x:f>
      </x:c>
    </x:row>
    <x:row r="22">
      <x:c r="A22" s="21"/>
      <x:c r="B22" s="21"/>
      <x:c r="C22" s="21"/>
      <x:c r="D22" s="21"/>
      <x:c r="E22" s="21"/>
      <x:c r="F22" s="56"/>
      <x:c r="G22" s="58"/>
      <x:c r="H22" s="21"/>
      <x:c r="I22" s="21"/>
      <x:c r="J22" s="21"/>
      <x:c r="K22" s="21" t="str">
        <x:f>IF(A22="","",COUNTIF($A$5:$A$24,A22)&gt;1)</x:f>
      </x:c>
    </x:row>
    <x:row r="23">
      <x:c r="A23" s="21"/>
      <x:c r="B23" s="21"/>
      <x:c r="C23" s="21"/>
      <x:c r="D23" s="21"/>
      <x:c r="E23" s="21"/>
      <x:c r="F23" s="56"/>
      <x:c r="G23" s="58"/>
      <x:c r="H23" s="21"/>
      <x:c r="I23" s="21"/>
      <x:c r="J23" s="21"/>
      <x:c r="K23" s="21" t="str">
        <x:f>IF(A23="","",COUNTIF($A$5:$A$24,A23)&gt;1)</x:f>
      </x:c>
    </x:row>
    <x:row r="24">
      <x:c r="A24" s="21"/>
      <x:c r="B24" s="21"/>
      <x:c r="C24" s="21"/>
      <x:c r="D24" s="21"/>
      <x:c r="E24" s="21"/>
      <x:c r="F24" s="56"/>
      <x:c r="G24" s="58"/>
      <x:c r="H24" s="21"/>
      <x:c r="I24" s="21"/>
      <x:c r="J24" s="21"/>
      <x:c r="K24" s="21" t="str">
        <x:f>IF(A24="","",COUNTIF($A$5:$A$24,A24)&gt;1)</x:f>
      </x:c>
    </x:row>
  </x:sheetData>
  <x:mergeCells>
    <x:mergeCell ref="A1:K1"/>
    <x:mergeCell ref="A2:K2"/>
  </x:mergeCells>
  <x:dataValidations count="6">
    <x:dataValidation type="list" sqref="B5:B24">
      <x:formula1>"pending,eligible,ineligible"</x:formula1>
    </x:dataValidation>
    <x:dataValidation type="list" sqref="C5:C24">
      <x:formula1>"pending,consented,declined"</x:formula1>
    </x:dataValidation>
    <x:dataValidation type="list" sqref="D5:D24">
      <x:formula1>"xiaohongshu,douyin,bilibili,youtube,x"</x:formula1>
    </x:dataValidation>
    <x:dataValidation type="list" sqref="E5:E24">
      <x:formula1>"video,image-text,product-ad,tutorial,opinion"</x:formula1>
    </x:dataValidation>
    <x:dataValidation type="list" sqref="H5:H24">
      <x:formula1>"active,withdrawn"</x:formula1>
    </x:dataValidation>
    <x:dataValidation type="list" sqref="I5:I24">
      <x:formula1>"pending,passed,failed"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989d62b8594f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2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</x:cols>
  <x:sheetData>
    <x:row r="1" ht="34" customHeight="1">
      <x:c r="A1" s="3" t="str">
        <x:v>任务级原始记录</x:v>
      </x:c>
      <x:c r="B1" s="3" t="str">
        <x:v>任务级原始记录</x:v>
      </x:c>
      <x:c r="C1" s="3" t="str">
        <x:v>任务级原始记录</x:v>
      </x:c>
      <x:c r="D1" s="3" t="str">
        <x:v>任务级原始记录</x:v>
      </x:c>
      <x:c r="E1" s="3" t="str">
        <x:v>任务级原始记录</x:v>
      </x:c>
      <x:c r="F1" s="3" t="str">
        <x:v>任务级原始记录</x:v>
      </x:c>
      <x:c r="G1" s="3" t="str">
        <x:v>任务级原始记录</x:v>
      </x:c>
      <x:c r="H1" s="3" t="str">
        <x:v>任务级原始记录</x:v>
      </x:c>
      <x:c r="I1" s="3" t="str">
        <x:v>任务级原始记录</x:v>
      </x:c>
      <x:c r="J1" s="3" t="str">
        <x:v>任务级原始记录</x:v>
      </x:c>
      <x:c r="K1" s="3" t="str">
        <x:v>任务级原始记录</x:v>
      </x:c>
      <x:c r="L1" s="3" t="str">
        <x:v>任务级原始记录</x:v>
      </x:c>
      <x:c r="M1" s="3" t="str">
        <x:v>任务级原始记录</x:v>
      </x:c>
      <x:c r="N1" s="3" t="str">
        <x:v>任务级原始记录</x:v>
      </x:c>
      <x:c r="O1" s="3" t="str">
        <x:v>任务级原始记录</x:v>
      </x:c>
      <x:c r="P1" s="3" t="str">
        <x:v>任务级原始记录</x:v>
      </x:c>
      <x:c r="Q1" s="3" t="str">
        <x:v>任务级原始记录</x:v>
      </x:c>
      <x:c r="R1" s="3" t="str">
        <x:v>任务级原始记录</x:v>
      </x:c>
      <x:c r="S1" s="3" t="str">
        <x:v>任务级原始记录</x:v>
      </x:c>
      <x:c r="T1" s="3" t="str">
        <x:v>任务级原始记录</x:v>
      </x:c>
      <x:c r="U1" s="3" t="str">
        <x:v>任务级原始记录</x:v>
      </x:c>
      <x:c r="V1" s="3" t="str">
        <x:v>任务级原始记录</x:v>
      </x:c>
      <x:c r="W1" s="3" t="str">
        <x:v>任务级原始记录</x:v>
      </x:c>
      <x:c r="X1" s="3" t="str">
        <x:v>任务级原始记录</x:v>
      </x:c>
      <x:c r="Y1" s="3" t="str">
        <x:v>任务级原始记录</x:v>
      </x:c>
      <x:c r="Z1" s="3" t="str">
        <x:v>任务级原始记录</x:v>
      </x:c>
      <x:c r="AA1" s="3" t="str">
        <x:v>任务级原始记录</x:v>
      </x:c>
    </x:row>
    <x:row r="2" ht="30" customHeight="1">
      <x:c r="A2" s="7" t="str">
        <x:v>每行一个任务。公式列 W:AA 不手工覆盖；排除原因留空才可能进入有效任务。</x:v>
      </x:c>
      <x:c r="B2" s="7" t="str">
        <x:v>每行一个任务。公式列 W:AA 不手工覆盖；排除原因留空才可能进入有效任务。</x:v>
      </x:c>
      <x:c r="C2" s="7" t="str">
        <x:v>每行一个任务。公式列 W:AA 不手工覆盖；排除原因留空才可能进入有效任务。</x:v>
      </x:c>
      <x:c r="D2" s="7" t="str">
        <x:v>每行一个任务。公式列 W:AA 不手工覆盖；排除原因留空才可能进入有效任务。</x:v>
      </x:c>
      <x:c r="E2" s="7" t="str">
        <x:v>每行一个任务。公式列 W:AA 不手工覆盖；排除原因留空才可能进入有效任务。</x:v>
      </x:c>
      <x:c r="F2" s="7" t="str">
        <x:v>每行一个任务。公式列 W:AA 不手工覆盖；排除原因留空才可能进入有效任务。</x:v>
      </x:c>
      <x:c r="G2" s="7" t="str">
        <x:v>每行一个任务。公式列 W:AA 不手工覆盖；排除原因留空才可能进入有效任务。</x:v>
      </x:c>
      <x:c r="H2" s="7" t="str">
        <x:v>每行一个任务。公式列 W:AA 不手工覆盖；排除原因留空才可能进入有效任务。</x:v>
      </x:c>
      <x:c r="I2" s="7" t="str">
        <x:v>每行一个任务。公式列 W:AA 不手工覆盖；排除原因留空才可能进入有效任务。</x:v>
      </x:c>
      <x:c r="J2" s="7" t="str">
        <x:v>每行一个任务。公式列 W:AA 不手工覆盖；排除原因留空才可能进入有效任务。</x:v>
      </x:c>
      <x:c r="K2" s="7" t="str">
        <x:v>每行一个任务。公式列 W:AA 不手工覆盖；排除原因留空才可能进入有效任务。</x:v>
      </x:c>
      <x:c r="L2" s="7" t="str">
        <x:v>每行一个任务。公式列 W:AA 不手工覆盖；排除原因留空才可能进入有效任务。</x:v>
      </x:c>
      <x:c r="M2" s="7" t="str">
        <x:v>每行一个任务。公式列 W:AA 不手工覆盖；排除原因留空才可能进入有效任务。</x:v>
      </x:c>
      <x:c r="N2" s="7" t="str">
        <x:v>每行一个任务。公式列 W:AA 不手工覆盖；排除原因留空才可能进入有效任务。</x:v>
      </x:c>
      <x:c r="O2" s="7" t="str">
        <x:v>每行一个任务。公式列 W:AA 不手工覆盖；排除原因留空才可能进入有效任务。</x:v>
      </x:c>
      <x:c r="P2" s="7" t="str">
        <x:v>每行一个任务。公式列 W:AA 不手工覆盖；排除原因留空才可能进入有效任务。</x:v>
      </x:c>
      <x:c r="Q2" s="7" t="str">
        <x:v>每行一个任务。公式列 W:AA 不手工覆盖；排除原因留空才可能进入有效任务。</x:v>
      </x:c>
      <x:c r="R2" s="7" t="str">
        <x:v>每行一个任务。公式列 W:AA 不手工覆盖；排除原因留空才可能进入有效任务。</x:v>
      </x:c>
      <x:c r="S2" s="7" t="str">
        <x:v>每行一个任务。公式列 W:AA 不手工覆盖；排除原因留空才可能进入有效任务。</x:v>
      </x:c>
      <x:c r="T2" s="7" t="str">
        <x:v>每行一个任务。公式列 W:AA 不手工覆盖；排除原因留空才可能进入有效任务。</x:v>
      </x:c>
      <x:c r="U2" s="7" t="str">
        <x:v>每行一个任务。公式列 W:AA 不手工覆盖；排除原因留空才可能进入有效任务。</x:v>
      </x:c>
      <x:c r="V2" s="7" t="str">
        <x:v>每行一个任务。公式列 W:AA 不手工覆盖；排除原因留空才可能进入有效任务。</x:v>
      </x:c>
      <x:c r="W2" s="7" t="str">
        <x:v>每行一个任务。公式列 W:AA 不手工覆盖；排除原因留空才可能进入有效任务。</x:v>
      </x:c>
      <x:c r="X2" s="7" t="str">
        <x:v>每行一个任务。公式列 W:AA 不手工覆盖；排除原因留空才可能进入有效任务。</x:v>
      </x:c>
      <x:c r="Y2" s="7" t="str">
        <x:v>每行一个任务。公式列 W:AA 不手工覆盖；排除原因留空才可能进入有效任务。</x:v>
      </x:c>
      <x:c r="Z2" s="7" t="str">
        <x:v>每行一个任务。公式列 W:AA 不手工覆盖；排除原因留空才可能进入有效任务。</x:v>
      </x:c>
      <x:c r="AA2" s="7" t="str">
        <x:v>每行一个任务。公式列 W:AA 不手工覆盖；排除原因留空才可能进入有效任务。</x:v>
      </x:c>
    </x:row>
    <x:row r="4" ht="32" customHeight="1">
      <x:c r="A4" s="14" t="str">
        <x:v>task_id</x:v>
      </x:c>
      <x:c r="B4" s="54" t="str">
        <x:v>participant_id</x:v>
      </x:c>
      <x:c r="C4" s="54" t="str">
        <x:v>data_origin</x:v>
      </x:c>
      <x:c r="D4" s="54" t="str">
        <x:v>started_at</x:v>
      </x:c>
      <x:c r="E4" s="54" t="str">
        <x:v>completed_at</x:v>
      </x:c>
      <x:c r="F4" s="54" t="str">
        <x:v>prompt_version</x:v>
      </x:c>
      <x:c r="G4" s="54" t="str">
        <x:v>platform</x:v>
      </x:c>
      <x:c r="H4" s="54" t="str">
        <x:v>content_type</x:v>
      </x:c>
      <x:c r="I4" s="54" t="str">
        <x:v>candidate_count_shown</x:v>
      </x:c>
      <x:c r="J4" s="54" t="str">
        <x:v>generation_started</x:v>
      </x:c>
      <x:c r="K4" s="54" t="str">
        <x:v>generation_completed</x:v>
      </x:c>
      <x:c r="L4" s="54" t="str">
        <x:v>full_candidates_seen</x:v>
      </x:c>
      <x:c r="M4" s="54" t="str">
        <x:v>task_completed</x:v>
      </x:c>
      <x:c r="N4" s="54" t="str">
        <x:v>selected_hook_id</x:v>
      </x:c>
      <x:c r="O4" s="54" t="str">
        <x:v>usage_outcome</x:v>
      </x:c>
      <x:c r="P4" s="54" t="str">
        <x:v>feedback_submitted</x:v>
      </x:c>
      <x:c r="Q4" s="54" t="str">
        <x:v>comparison_burden_score</x:v>
      </x:c>
      <x:c r="R4" s="54" t="str">
        <x:v>decision_time_seconds</x:v>
      </x:c>
      <x:c r="S4" s="54" t="str">
        <x:v>publish_followup_authorized</x:v>
      </x:c>
      <x:c r="T4" s="54" t="str">
        <x:v>publish_confirmed</x:v>
      </x:c>
      <x:c r="U4" s="54" t="str">
        <x:v>exclusion_reason</x:v>
      </x:c>
      <x:c r="V4" s="54" t="str">
        <x:v>bad_case_tags</x:v>
      </x:c>
      <x:c r="W4" s="54" t="str">
        <x:v>duration_minutes</x:v>
      </x:c>
      <x:c r="X4" s="54" t="str">
        <x:v>task_valid</x:v>
      </x:c>
      <x:c r="Y4" s="54" t="str">
        <x:v>duplicate_task_id</x:v>
      </x:c>
      <x:c r="Z4" s="54" t="str">
        <x:v>participant_reference_valid</x:v>
      </x:c>
      <x:c r="AA4" s="15" t="str">
        <x:v>selected_hook_consistent</x:v>
      </x:c>
    </x:row>
    <x:row r="5">
      <x:c r="A5" s="20"/>
      <x:c r="B5" s="20"/>
      <x:c r="C5" s="20"/>
      <x:c r="D5" s="59"/>
      <x:c r="E5" s="59"/>
      <x:c r="F5" s="20"/>
      <x:c r="G5" s="20"/>
      <x:c r="H5" s="20"/>
      <x:c r="I5" s="55"/>
      <x:c r="J5" s="20"/>
      <x:c r="K5" s="20"/>
      <x:c r="L5" s="20"/>
      <x:c r="M5" s="20"/>
      <x:c r="N5" s="20"/>
      <x:c r="O5" s="20"/>
      <x:c r="P5" s="20"/>
      <x:c r="Q5" s="55"/>
      <x:c r="R5" s="55"/>
      <x:c r="S5" s="20"/>
      <x:c r="T5" s="20"/>
      <x:c r="U5" s="20"/>
      <x:c r="V5" s="20"/>
      <x:c r="W5" s="61" t="str">
        <x:f>IF(OR(D5="",E5=""),"",MAX(0,(E5-D5)*1440))</x:f>
      </x:c>
      <x:c r="X5" s="20" t="str">
        <x:f>IF(A5="","",AND(C5="real_user",J5="true",K5="true",L5="true",M5="true",B5&lt;&gt;"",F5&lt;&gt;"",U5=""))</x:f>
      </x:c>
      <x:c r="Y5" s="20" t="str">
        <x:f>IF(A5="","",COUNTIF($A$5:$A$104,A5)&gt;1)</x:f>
      </x:c>
      <x:c r="Z5" s="20" t="str">
        <x:f>IF(B5="","",COUNTIF('参与者'!$A$5:$A$24,B5)=1)</x:f>
      </x:c>
      <x:c r="AA5" s="20" t="str">
        <x:f>IF(N5="","",COUNTIFS('Hook反馈'!$A$5:$A$504,N5,'Hook反馈'!$B$5:$B$504,A5,'Hook反馈'!$E$5:$E$504,"true")=1)</x:f>
      </x:c>
    </x:row>
    <x:row r="6">
      <x:c r="A6" s="21"/>
      <x:c r="B6" s="21"/>
      <x:c r="C6" s="21"/>
      <x:c r="D6" s="60"/>
      <x:c r="E6" s="60"/>
      <x:c r="F6" s="21"/>
      <x:c r="G6" s="21"/>
      <x:c r="H6" s="21"/>
      <x:c r="I6" s="56"/>
      <x:c r="J6" s="21"/>
      <x:c r="K6" s="21"/>
      <x:c r="L6" s="21"/>
      <x:c r="M6" s="21"/>
      <x:c r="N6" s="21"/>
      <x:c r="O6" s="21"/>
      <x:c r="P6" s="21"/>
      <x:c r="Q6" s="56"/>
      <x:c r="R6" s="56"/>
      <x:c r="S6" s="21"/>
      <x:c r="T6" s="21"/>
      <x:c r="U6" s="21"/>
      <x:c r="V6" s="21"/>
      <x:c r="W6" s="62" t="str">
        <x:f>IF(OR(D6="",E6=""),"",MAX(0,(E6-D6)*1440))</x:f>
      </x:c>
      <x:c r="X6" s="21" t="str">
        <x:f>IF(A6="","",AND(C6="real_user",J6="true",K6="true",L6="true",M6="true",B6&lt;&gt;"",F6&lt;&gt;"",U6=""))</x:f>
      </x:c>
      <x:c r="Y6" s="21" t="str">
        <x:f>IF(A6="","",COUNTIF($A$5:$A$104,A6)&gt;1)</x:f>
      </x:c>
      <x:c r="Z6" s="21" t="str">
        <x:f>IF(B6="","",COUNTIF('参与者'!$A$5:$A$24,B6)=1)</x:f>
      </x:c>
      <x:c r="AA6" s="21" t="str">
        <x:f>IF(N6="","",COUNTIFS('Hook反馈'!$A$5:$A$504,N6,'Hook反馈'!$B$5:$B$504,A6,'Hook反馈'!$E$5:$E$504,"true")=1)</x:f>
      </x:c>
    </x:row>
    <x:row r="7">
      <x:c r="A7" s="21"/>
      <x:c r="B7" s="21"/>
      <x:c r="C7" s="21"/>
      <x:c r="D7" s="60"/>
      <x:c r="E7" s="60"/>
      <x:c r="F7" s="21"/>
      <x:c r="G7" s="21"/>
      <x:c r="H7" s="21"/>
      <x:c r="I7" s="56"/>
      <x:c r="J7" s="21"/>
      <x:c r="K7" s="21"/>
      <x:c r="L7" s="21"/>
      <x:c r="M7" s="21"/>
      <x:c r="N7" s="21"/>
      <x:c r="O7" s="21"/>
      <x:c r="P7" s="21"/>
      <x:c r="Q7" s="56"/>
      <x:c r="R7" s="56"/>
      <x:c r="S7" s="21"/>
      <x:c r="T7" s="21"/>
      <x:c r="U7" s="21"/>
      <x:c r="V7" s="21"/>
      <x:c r="W7" s="62" t="str">
        <x:f>IF(OR(D7="",E7=""),"",MAX(0,(E7-D7)*1440))</x:f>
      </x:c>
      <x:c r="X7" s="21" t="str">
        <x:f>IF(A7="","",AND(C7="real_user",J7="true",K7="true",L7="true",M7="true",B7&lt;&gt;"",F7&lt;&gt;"",U7=""))</x:f>
      </x:c>
      <x:c r="Y7" s="21" t="str">
        <x:f>IF(A7="","",COUNTIF($A$5:$A$104,A7)&gt;1)</x:f>
      </x:c>
      <x:c r="Z7" s="21" t="str">
        <x:f>IF(B7="","",COUNTIF('参与者'!$A$5:$A$24,B7)=1)</x:f>
      </x:c>
      <x:c r="AA7" s="21" t="str">
        <x:f>IF(N7="","",COUNTIFS('Hook反馈'!$A$5:$A$504,N7,'Hook反馈'!$B$5:$B$504,A7,'Hook反馈'!$E$5:$E$504,"true")=1)</x:f>
      </x:c>
    </x:row>
    <x:row r="8">
      <x:c r="A8" s="21"/>
      <x:c r="B8" s="21"/>
      <x:c r="C8" s="21"/>
      <x:c r="D8" s="60"/>
      <x:c r="E8" s="60"/>
      <x:c r="F8" s="21"/>
      <x:c r="G8" s="21"/>
      <x:c r="H8" s="21"/>
      <x:c r="I8" s="56"/>
      <x:c r="J8" s="21"/>
      <x:c r="K8" s="21"/>
      <x:c r="L8" s="21"/>
      <x:c r="M8" s="21"/>
      <x:c r="N8" s="21"/>
      <x:c r="O8" s="21"/>
      <x:c r="P8" s="21"/>
      <x:c r="Q8" s="56"/>
      <x:c r="R8" s="56"/>
      <x:c r="S8" s="21"/>
      <x:c r="T8" s="21"/>
      <x:c r="U8" s="21"/>
      <x:c r="V8" s="21"/>
      <x:c r="W8" s="62" t="str">
        <x:f>IF(OR(D8="",E8=""),"",MAX(0,(E8-D8)*1440))</x:f>
      </x:c>
      <x:c r="X8" s="21" t="str">
        <x:f>IF(A8="","",AND(C8="real_user",J8="true",K8="true",L8="true",M8="true",B8&lt;&gt;"",F8&lt;&gt;"",U8=""))</x:f>
      </x:c>
      <x:c r="Y8" s="21" t="str">
        <x:f>IF(A8="","",COUNTIF($A$5:$A$104,A8)&gt;1)</x:f>
      </x:c>
      <x:c r="Z8" s="21" t="str">
        <x:f>IF(B8="","",COUNTIF('参与者'!$A$5:$A$24,B8)=1)</x:f>
      </x:c>
      <x:c r="AA8" s="21" t="str">
        <x:f>IF(N8="","",COUNTIFS('Hook反馈'!$A$5:$A$504,N8,'Hook反馈'!$B$5:$B$504,A8,'Hook反馈'!$E$5:$E$504,"true")=1)</x:f>
      </x:c>
    </x:row>
    <x:row r="9">
      <x:c r="A9" s="21"/>
      <x:c r="B9" s="21"/>
      <x:c r="C9" s="21"/>
      <x:c r="D9" s="60"/>
      <x:c r="E9" s="60"/>
      <x:c r="F9" s="21"/>
      <x:c r="G9" s="21"/>
      <x:c r="H9" s="21"/>
      <x:c r="I9" s="56"/>
      <x:c r="J9" s="21"/>
      <x:c r="K9" s="21"/>
      <x:c r="L9" s="21"/>
      <x:c r="M9" s="21"/>
      <x:c r="N9" s="21"/>
      <x:c r="O9" s="21"/>
      <x:c r="P9" s="21"/>
      <x:c r="Q9" s="56"/>
      <x:c r="R9" s="56"/>
      <x:c r="S9" s="21"/>
      <x:c r="T9" s="21"/>
      <x:c r="U9" s="21"/>
      <x:c r="V9" s="21"/>
      <x:c r="W9" s="62" t="str">
        <x:f>IF(OR(D9="",E9=""),"",MAX(0,(E9-D9)*1440))</x:f>
      </x:c>
      <x:c r="X9" s="21" t="str">
        <x:f>IF(A9="","",AND(C9="real_user",J9="true",K9="true",L9="true",M9="true",B9&lt;&gt;"",F9&lt;&gt;"",U9=""))</x:f>
      </x:c>
      <x:c r="Y9" s="21" t="str">
        <x:f>IF(A9="","",COUNTIF($A$5:$A$104,A9)&gt;1)</x:f>
      </x:c>
      <x:c r="Z9" s="21" t="str">
        <x:f>IF(B9="","",COUNTIF('参与者'!$A$5:$A$24,B9)=1)</x:f>
      </x:c>
      <x:c r="AA9" s="21" t="str">
        <x:f>IF(N9="","",COUNTIFS('Hook反馈'!$A$5:$A$504,N9,'Hook反馈'!$B$5:$B$504,A9,'Hook反馈'!$E$5:$E$504,"true")=1)</x:f>
      </x:c>
    </x:row>
    <x:row r="10">
      <x:c r="A10" s="21"/>
      <x:c r="B10" s="21"/>
      <x:c r="C10" s="21"/>
      <x:c r="D10" s="60"/>
      <x:c r="E10" s="60"/>
      <x:c r="F10" s="21"/>
      <x:c r="G10" s="21"/>
      <x:c r="H10" s="21"/>
      <x:c r="I10" s="56"/>
      <x:c r="J10" s="21"/>
      <x:c r="K10" s="21"/>
      <x:c r="L10" s="21"/>
      <x:c r="M10" s="21"/>
      <x:c r="N10" s="21"/>
      <x:c r="O10" s="21"/>
      <x:c r="P10" s="21"/>
      <x:c r="Q10" s="56"/>
      <x:c r="R10" s="56"/>
      <x:c r="S10" s="21"/>
      <x:c r="T10" s="21"/>
      <x:c r="U10" s="21"/>
      <x:c r="V10" s="21"/>
      <x:c r="W10" s="62" t="str">
        <x:f>IF(OR(D10="",E10=""),"",MAX(0,(E10-D10)*1440))</x:f>
      </x:c>
      <x:c r="X10" s="21" t="str">
        <x:f>IF(A10="","",AND(C10="real_user",J10="true",K10="true",L10="true",M10="true",B10&lt;&gt;"",F10&lt;&gt;"",U10=""))</x:f>
      </x:c>
      <x:c r="Y10" s="21" t="str">
        <x:f>IF(A10="","",COUNTIF($A$5:$A$104,A10)&gt;1)</x:f>
      </x:c>
      <x:c r="Z10" s="21" t="str">
        <x:f>IF(B10="","",COUNTIF('参与者'!$A$5:$A$24,B10)=1)</x:f>
      </x:c>
      <x:c r="AA10" s="21" t="str">
        <x:f>IF(N10="","",COUNTIFS('Hook反馈'!$A$5:$A$504,N10,'Hook反馈'!$B$5:$B$504,A10,'Hook反馈'!$E$5:$E$504,"true")=1)</x:f>
      </x:c>
    </x:row>
    <x:row r="11">
      <x:c r="A11" s="21"/>
      <x:c r="B11" s="21"/>
      <x:c r="C11" s="21"/>
      <x:c r="D11" s="60"/>
      <x:c r="E11" s="60"/>
      <x:c r="F11" s="21"/>
      <x:c r="G11" s="21"/>
      <x:c r="H11" s="21"/>
      <x:c r="I11" s="56"/>
      <x:c r="J11" s="21"/>
      <x:c r="K11" s="21"/>
      <x:c r="L11" s="21"/>
      <x:c r="M11" s="21"/>
      <x:c r="N11" s="21"/>
      <x:c r="O11" s="21"/>
      <x:c r="P11" s="21"/>
      <x:c r="Q11" s="56"/>
      <x:c r="R11" s="56"/>
      <x:c r="S11" s="21"/>
      <x:c r="T11" s="21"/>
      <x:c r="U11" s="21"/>
      <x:c r="V11" s="21"/>
      <x:c r="W11" s="62" t="str">
        <x:f>IF(OR(D11="",E11=""),"",MAX(0,(E11-D11)*1440))</x:f>
      </x:c>
      <x:c r="X11" s="21" t="str">
        <x:f>IF(A11="","",AND(C11="real_user",J11="true",K11="true",L11="true",M11="true",B11&lt;&gt;"",F11&lt;&gt;"",U11=""))</x:f>
      </x:c>
      <x:c r="Y11" s="21" t="str">
        <x:f>IF(A11="","",COUNTIF($A$5:$A$104,A11)&gt;1)</x:f>
      </x:c>
      <x:c r="Z11" s="21" t="str">
        <x:f>IF(B11="","",COUNTIF('参与者'!$A$5:$A$24,B11)=1)</x:f>
      </x:c>
      <x:c r="AA11" s="21" t="str">
        <x:f>IF(N11="","",COUNTIFS('Hook反馈'!$A$5:$A$504,N11,'Hook反馈'!$B$5:$B$504,A11,'Hook反馈'!$E$5:$E$504,"true")=1)</x:f>
      </x:c>
    </x:row>
    <x:row r="12">
      <x:c r="A12" s="21"/>
      <x:c r="B12" s="21"/>
      <x:c r="C12" s="21"/>
      <x:c r="D12" s="60"/>
      <x:c r="E12" s="60"/>
      <x:c r="F12" s="21"/>
      <x:c r="G12" s="21"/>
      <x:c r="H12" s="21"/>
      <x:c r="I12" s="56"/>
      <x:c r="J12" s="21"/>
      <x:c r="K12" s="21"/>
      <x:c r="L12" s="21"/>
      <x:c r="M12" s="21"/>
      <x:c r="N12" s="21"/>
      <x:c r="O12" s="21"/>
      <x:c r="P12" s="21"/>
      <x:c r="Q12" s="56"/>
      <x:c r="R12" s="56"/>
      <x:c r="S12" s="21"/>
      <x:c r="T12" s="21"/>
      <x:c r="U12" s="21"/>
      <x:c r="V12" s="21"/>
      <x:c r="W12" s="62" t="str">
        <x:f>IF(OR(D12="",E12=""),"",MAX(0,(E12-D12)*1440))</x:f>
      </x:c>
      <x:c r="X12" s="21" t="str">
        <x:f>IF(A12="","",AND(C12="real_user",J12="true",K12="true",L12="true",M12="true",B12&lt;&gt;"",F12&lt;&gt;"",U12=""))</x:f>
      </x:c>
      <x:c r="Y12" s="21" t="str">
        <x:f>IF(A12="","",COUNTIF($A$5:$A$104,A12)&gt;1)</x:f>
      </x:c>
      <x:c r="Z12" s="21" t="str">
        <x:f>IF(B12="","",COUNTIF('参与者'!$A$5:$A$24,B12)=1)</x:f>
      </x:c>
      <x:c r="AA12" s="21" t="str">
        <x:f>IF(N12="","",COUNTIFS('Hook反馈'!$A$5:$A$504,N12,'Hook反馈'!$B$5:$B$504,A12,'Hook反馈'!$E$5:$E$504,"true")=1)</x:f>
      </x:c>
    </x:row>
    <x:row r="13">
      <x:c r="A13" s="21"/>
      <x:c r="B13" s="21"/>
      <x:c r="C13" s="21"/>
      <x:c r="D13" s="60"/>
      <x:c r="E13" s="60"/>
      <x:c r="F13" s="21"/>
      <x:c r="G13" s="21"/>
      <x:c r="H13" s="21"/>
      <x:c r="I13" s="56"/>
      <x:c r="J13" s="21"/>
      <x:c r="K13" s="21"/>
      <x:c r="L13" s="21"/>
      <x:c r="M13" s="21"/>
      <x:c r="N13" s="21"/>
      <x:c r="O13" s="21"/>
      <x:c r="P13" s="21"/>
      <x:c r="Q13" s="56"/>
      <x:c r="R13" s="56"/>
      <x:c r="S13" s="21"/>
      <x:c r="T13" s="21"/>
      <x:c r="U13" s="21"/>
      <x:c r="V13" s="21"/>
      <x:c r="W13" s="62" t="str">
        <x:f>IF(OR(D13="",E13=""),"",MAX(0,(E13-D13)*1440))</x:f>
      </x:c>
      <x:c r="X13" s="21" t="str">
        <x:f>IF(A13="","",AND(C13="real_user",J13="true",K13="true",L13="true",M13="true",B13&lt;&gt;"",F13&lt;&gt;"",U13=""))</x:f>
      </x:c>
      <x:c r="Y13" s="21" t="str">
        <x:f>IF(A13="","",COUNTIF($A$5:$A$104,A13)&gt;1)</x:f>
      </x:c>
      <x:c r="Z13" s="21" t="str">
        <x:f>IF(B13="","",COUNTIF('参与者'!$A$5:$A$24,B13)=1)</x:f>
      </x:c>
      <x:c r="AA13" s="21" t="str">
        <x:f>IF(N13="","",COUNTIFS('Hook反馈'!$A$5:$A$504,N13,'Hook反馈'!$B$5:$B$504,A13,'Hook反馈'!$E$5:$E$504,"true")=1)</x:f>
      </x:c>
    </x:row>
    <x:row r="14">
      <x:c r="A14" s="21"/>
      <x:c r="B14" s="21"/>
      <x:c r="C14" s="21"/>
      <x:c r="D14" s="60"/>
      <x:c r="E14" s="60"/>
      <x:c r="F14" s="21"/>
      <x:c r="G14" s="21"/>
      <x:c r="H14" s="21"/>
      <x:c r="I14" s="56"/>
      <x:c r="J14" s="21"/>
      <x:c r="K14" s="21"/>
      <x:c r="L14" s="21"/>
      <x:c r="M14" s="21"/>
      <x:c r="N14" s="21"/>
      <x:c r="O14" s="21"/>
      <x:c r="P14" s="21"/>
      <x:c r="Q14" s="56"/>
      <x:c r="R14" s="56"/>
      <x:c r="S14" s="21"/>
      <x:c r="T14" s="21"/>
      <x:c r="U14" s="21"/>
      <x:c r="V14" s="21"/>
      <x:c r="W14" s="62" t="str">
        <x:f>IF(OR(D14="",E14=""),"",MAX(0,(E14-D14)*1440))</x:f>
      </x:c>
      <x:c r="X14" s="21" t="str">
        <x:f>IF(A14="","",AND(C14="real_user",J14="true",K14="true",L14="true",M14="true",B14&lt;&gt;"",F14&lt;&gt;"",U14=""))</x:f>
      </x:c>
      <x:c r="Y14" s="21" t="str">
        <x:f>IF(A14="","",COUNTIF($A$5:$A$104,A14)&gt;1)</x:f>
      </x:c>
      <x:c r="Z14" s="21" t="str">
        <x:f>IF(B14="","",COUNTIF('参与者'!$A$5:$A$24,B14)=1)</x:f>
      </x:c>
      <x:c r="AA14" s="21" t="str">
        <x:f>IF(N14="","",COUNTIFS('Hook反馈'!$A$5:$A$504,N14,'Hook反馈'!$B$5:$B$504,A14,'Hook反馈'!$E$5:$E$504,"true")=1)</x:f>
      </x:c>
    </x:row>
    <x:row r="15">
      <x:c r="A15" s="21"/>
      <x:c r="B15" s="21"/>
      <x:c r="C15" s="21"/>
      <x:c r="D15" s="60"/>
      <x:c r="E15" s="60"/>
      <x:c r="F15" s="21"/>
      <x:c r="G15" s="21"/>
      <x:c r="H15" s="21"/>
      <x:c r="I15" s="56"/>
      <x:c r="J15" s="21"/>
      <x:c r="K15" s="21"/>
      <x:c r="L15" s="21"/>
      <x:c r="M15" s="21"/>
      <x:c r="N15" s="21"/>
      <x:c r="O15" s="21"/>
      <x:c r="P15" s="21"/>
      <x:c r="Q15" s="56"/>
      <x:c r="R15" s="56"/>
      <x:c r="S15" s="21"/>
      <x:c r="T15" s="21"/>
      <x:c r="U15" s="21"/>
      <x:c r="V15" s="21"/>
      <x:c r="W15" s="62" t="str">
        <x:f>IF(OR(D15="",E15=""),"",MAX(0,(E15-D15)*1440))</x:f>
      </x:c>
      <x:c r="X15" s="21" t="str">
        <x:f>IF(A15="","",AND(C15="real_user",J15="true",K15="true",L15="true",M15="true",B15&lt;&gt;"",F15&lt;&gt;"",U15=""))</x:f>
      </x:c>
      <x:c r="Y15" s="21" t="str">
        <x:f>IF(A15="","",COUNTIF($A$5:$A$104,A15)&gt;1)</x:f>
      </x:c>
      <x:c r="Z15" s="21" t="str">
        <x:f>IF(B15="","",COUNTIF('参与者'!$A$5:$A$24,B15)=1)</x:f>
      </x:c>
      <x:c r="AA15" s="21" t="str">
        <x:f>IF(N15="","",COUNTIFS('Hook反馈'!$A$5:$A$504,N15,'Hook反馈'!$B$5:$B$504,A15,'Hook反馈'!$E$5:$E$504,"true")=1)</x:f>
      </x:c>
    </x:row>
    <x:row r="16">
      <x:c r="A16" s="21"/>
      <x:c r="B16" s="21"/>
      <x:c r="C16" s="21"/>
      <x:c r="D16" s="60"/>
      <x:c r="E16" s="60"/>
      <x:c r="F16" s="21"/>
      <x:c r="G16" s="21"/>
      <x:c r="H16" s="21"/>
      <x:c r="I16" s="56"/>
      <x:c r="J16" s="21"/>
      <x:c r="K16" s="21"/>
      <x:c r="L16" s="21"/>
      <x:c r="M16" s="21"/>
      <x:c r="N16" s="21"/>
      <x:c r="O16" s="21"/>
      <x:c r="P16" s="21"/>
      <x:c r="Q16" s="56"/>
      <x:c r="R16" s="56"/>
      <x:c r="S16" s="21"/>
      <x:c r="T16" s="21"/>
      <x:c r="U16" s="21"/>
      <x:c r="V16" s="21"/>
      <x:c r="W16" s="62" t="str">
        <x:f>IF(OR(D16="",E16=""),"",MAX(0,(E16-D16)*1440))</x:f>
      </x:c>
      <x:c r="X16" s="21" t="str">
        <x:f>IF(A16="","",AND(C16="real_user",J16="true",K16="true",L16="true",M16="true",B16&lt;&gt;"",F16&lt;&gt;"",U16=""))</x:f>
      </x:c>
      <x:c r="Y16" s="21" t="str">
        <x:f>IF(A16="","",COUNTIF($A$5:$A$104,A16)&gt;1)</x:f>
      </x:c>
      <x:c r="Z16" s="21" t="str">
        <x:f>IF(B16="","",COUNTIF('参与者'!$A$5:$A$24,B16)=1)</x:f>
      </x:c>
      <x:c r="AA16" s="21" t="str">
        <x:f>IF(N16="","",COUNTIFS('Hook反馈'!$A$5:$A$504,N16,'Hook反馈'!$B$5:$B$504,A16,'Hook反馈'!$E$5:$E$504,"true")=1)</x:f>
      </x:c>
    </x:row>
    <x:row r="17">
      <x:c r="A17" s="21"/>
      <x:c r="B17" s="21"/>
      <x:c r="C17" s="21"/>
      <x:c r="D17" s="60"/>
      <x:c r="E17" s="60"/>
      <x:c r="F17" s="21"/>
      <x:c r="G17" s="21"/>
      <x:c r="H17" s="21"/>
      <x:c r="I17" s="56"/>
      <x:c r="J17" s="21"/>
      <x:c r="K17" s="21"/>
      <x:c r="L17" s="21"/>
      <x:c r="M17" s="21"/>
      <x:c r="N17" s="21"/>
      <x:c r="O17" s="21"/>
      <x:c r="P17" s="21"/>
      <x:c r="Q17" s="56"/>
      <x:c r="R17" s="56"/>
      <x:c r="S17" s="21"/>
      <x:c r="T17" s="21"/>
      <x:c r="U17" s="21"/>
      <x:c r="V17" s="21"/>
      <x:c r="W17" s="62" t="str">
        <x:f>IF(OR(D17="",E17=""),"",MAX(0,(E17-D17)*1440))</x:f>
      </x:c>
      <x:c r="X17" s="21" t="str">
        <x:f>IF(A17="","",AND(C17="real_user",J17="true",K17="true",L17="true",M17="true",B17&lt;&gt;"",F17&lt;&gt;"",U17=""))</x:f>
      </x:c>
      <x:c r="Y17" s="21" t="str">
        <x:f>IF(A17="","",COUNTIF($A$5:$A$104,A17)&gt;1)</x:f>
      </x:c>
      <x:c r="Z17" s="21" t="str">
        <x:f>IF(B17="","",COUNTIF('参与者'!$A$5:$A$24,B17)=1)</x:f>
      </x:c>
      <x:c r="AA17" s="21" t="str">
        <x:f>IF(N17="","",COUNTIFS('Hook反馈'!$A$5:$A$504,N17,'Hook反馈'!$B$5:$B$504,A17,'Hook反馈'!$E$5:$E$504,"true")=1)</x:f>
      </x:c>
    </x:row>
    <x:row r="18">
      <x:c r="A18" s="21"/>
      <x:c r="B18" s="21"/>
      <x:c r="C18" s="21"/>
      <x:c r="D18" s="60"/>
      <x:c r="E18" s="60"/>
      <x:c r="F18" s="21"/>
      <x:c r="G18" s="21"/>
      <x:c r="H18" s="21"/>
      <x:c r="I18" s="56"/>
      <x:c r="J18" s="21"/>
      <x:c r="K18" s="21"/>
      <x:c r="L18" s="21"/>
      <x:c r="M18" s="21"/>
      <x:c r="N18" s="21"/>
      <x:c r="O18" s="21"/>
      <x:c r="P18" s="21"/>
      <x:c r="Q18" s="56"/>
      <x:c r="R18" s="56"/>
      <x:c r="S18" s="21"/>
      <x:c r="T18" s="21"/>
      <x:c r="U18" s="21"/>
      <x:c r="V18" s="21"/>
      <x:c r="W18" s="62" t="str">
        <x:f>IF(OR(D18="",E18=""),"",MAX(0,(E18-D18)*1440))</x:f>
      </x:c>
      <x:c r="X18" s="21" t="str">
        <x:f>IF(A18="","",AND(C18="real_user",J18="true",K18="true",L18="true",M18="true",B18&lt;&gt;"",F18&lt;&gt;"",U18=""))</x:f>
      </x:c>
      <x:c r="Y18" s="21" t="str">
        <x:f>IF(A18="","",COUNTIF($A$5:$A$104,A18)&gt;1)</x:f>
      </x:c>
      <x:c r="Z18" s="21" t="str">
        <x:f>IF(B18="","",COUNTIF('参与者'!$A$5:$A$24,B18)=1)</x:f>
      </x:c>
      <x:c r="AA18" s="21" t="str">
        <x:f>IF(N18="","",COUNTIFS('Hook反馈'!$A$5:$A$504,N18,'Hook反馈'!$B$5:$B$504,A18,'Hook反馈'!$E$5:$E$504,"true")=1)</x:f>
      </x:c>
    </x:row>
    <x:row r="19">
      <x:c r="A19" s="21"/>
      <x:c r="B19" s="21"/>
      <x:c r="C19" s="21"/>
      <x:c r="D19" s="60"/>
      <x:c r="E19" s="60"/>
      <x:c r="F19" s="21"/>
      <x:c r="G19" s="21"/>
      <x:c r="H19" s="21"/>
      <x:c r="I19" s="56"/>
      <x:c r="J19" s="21"/>
      <x:c r="K19" s="21"/>
      <x:c r="L19" s="21"/>
      <x:c r="M19" s="21"/>
      <x:c r="N19" s="21"/>
      <x:c r="O19" s="21"/>
      <x:c r="P19" s="21"/>
      <x:c r="Q19" s="56"/>
      <x:c r="R19" s="56"/>
      <x:c r="S19" s="21"/>
      <x:c r="T19" s="21"/>
      <x:c r="U19" s="21"/>
      <x:c r="V19" s="21"/>
      <x:c r="W19" s="62" t="str">
        <x:f>IF(OR(D19="",E19=""),"",MAX(0,(E19-D19)*1440))</x:f>
      </x:c>
      <x:c r="X19" s="21" t="str">
        <x:f>IF(A19="","",AND(C19="real_user",J19="true",K19="true",L19="true",M19="true",B19&lt;&gt;"",F19&lt;&gt;"",U19=""))</x:f>
      </x:c>
      <x:c r="Y19" s="21" t="str">
        <x:f>IF(A19="","",COUNTIF($A$5:$A$104,A19)&gt;1)</x:f>
      </x:c>
      <x:c r="Z19" s="21" t="str">
        <x:f>IF(B19="","",COUNTIF('参与者'!$A$5:$A$24,B19)=1)</x:f>
      </x:c>
      <x:c r="AA19" s="21" t="str">
        <x:f>IF(N19="","",COUNTIFS('Hook反馈'!$A$5:$A$504,N19,'Hook反馈'!$B$5:$B$504,A19,'Hook反馈'!$E$5:$E$504,"true")=1)</x:f>
      </x:c>
    </x:row>
    <x:row r="20">
      <x:c r="A20" s="21"/>
      <x:c r="B20" s="21"/>
      <x:c r="C20" s="21"/>
      <x:c r="D20" s="60"/>
      <x:c r="E20" s="60"/>
      <x:c r="F20" s="21"/>
      <x:c r="G20" s="21"/>
      <x:c r="H20" s="21"/>
      <x:c r="I20" s="56"/>
      <x:c r="J20" s="21"/>
      <x:c r="K20" s="21"/>
      <x:c r="L20" s="21"/>
      <x:c r="M20" s="21"/>
      <x:c r="N20" s="21"/>
      <x:c r="O20" s="21"/>
      <x:c r="P20" s="21"/>
      <x:c r="Q20" s="56"/>
      <x:c r="R20" s="56"/>
      <x:c r="S20" s="21"/>
      <x:c r="T20" s="21"/>
      <x:c r="U20" s="21"/>
      <x:c r="V20" s="21"/>
      <x:c r="W20" s="62" t="str">
        <x:f>IF(OR(D20="",E20=""),"",MAX(0,(E20-D20)*1440))</x:f>
      </x:c>
      <x:c r="X20" s="21" t="str">
        <x:f>IF(A20="","",AND(C20="real_user",J20="true",K20="true",L20="true",M20="true",B20&lt;&gt;"",F20&lt;&gt;"",U20=""))</x:f>
      </x:c>
      <x:c r="Y20" s="21" t="str">
        <x:f>IF(A20="","",COUNTIF($A$5:$A$104,A20)&gt;1)</x:f>
      </x:c>
      <x:c r="Z20" s="21" t="str">
        <x:f>IF(B20="","",COUNTIF('参与者'!$A$5:$A$24,B20)=1)</x:f>
      </x:c>
      <x:c r="AA20" s="21" t="str">
        <x:f>IF(N20="","",COUNTIFS('Hook反馈'!$A$5:$A$504,N20,'Hook反馈'!$B$5:$B$504,A20,'Hook反馈'!$E$5:$E$504,"true")=1)</x:f>
      </x:c>
    </x:row>
    <x:row r="21">
      <x:c r="A21" s="21"/>
      <x:c r="B21" s="21"/>
      <x:c r="C21" s="21"/>
      <x:c r="D21" s="60"/>
      <x:c r="E21" s="60"/>
      <x:c r="F21" s="21"/>
      <x:c r="G21" s="21"/>
      <x:c r="H21" s="21"/>
      <x:c r="I21" s="56"/>
      <x:c r="J21" s="21"/>
      <x:c r="K21" s="21"/>
      <x:c r="L21" s="21"/>
      <x:c r="M21" s="21"/>
      <x:c r="N21" s="21"/>
      <x:c r="O21" s="21"/>
      <x:c r="P21" s="21"/>
      <x:c r="Q21" s="56"/>
      <x:c r="R21" s="56"/>
      <x:c r="S21" s="21"/>
      <x:c r="T21" s="21"/>
      <x:c r="U21" s="21"/>
      <x:c r="V21" s="21"/>
      <x:c r="W21" s="62" t="str">
        <x:f>IF(OR(D21="",E21=""),"",MAX(0,(E21-D21)*1440))</x:f>
      </x:c>
      <x:c r="X21" s="21" t="str">
        <x:f>IF(A21="","",AND(C21="real_user",J21="true",K21="true",L21="true",M21="true",B21&lt;&gt;"",F21&lt;&gt;"",U21=""))</x:f>
      </x:c>
      <x:c r="Y21" s="21" t="str">
        <x:f>IF(A21="","",COUNTIF($A$5:$A$104,A21)&gt;1)</x:f>
      </x:c>
      <x:c r="Z21" s="21" t="str">
        <x:f>IF(B21="","",COUNTIF('参与者'!$A$5:$A$24,B21)=1)</x:f>
      </x:c>
      <x:c r="AA21" s="21" t="str">
        <x:f>IF(N21="","",COUNTIFS('Hook反馈'!$A$5:$A$504,N21,'Hook反馈'!$B$5:$B$504,A21,'Hook反馈'!$E$5:$E$504,"true")=1)</x:f>
      </x:c>
    </x:row>
    <x:row r="22">
      <x:c r="A22" s="21"/>
      <x:c r="B22" s="21"/>
      <x:c r="C22" s="21"/>
      <x:c r="D22" s="60"/>
      <x:c r="E22" s="60"/>
      <x:c r="F22" s="21"/>
      <x:c r="G22" s="21"/>
      <x:c r="H22" s="21"/>
      <x:c r="I22" s="56"/>
      <x:c r="J22" s="21"/>
      <x:c r="K22" s="21"/>
      <x:c r="L22" s="21"/>
      <x:c r="M22" s="21"/>
      <x:c r="N22" s="21"/>
      <x:c r="O22" s="21"/>
      <x:c r="P22" s="21"/>
      <x:c r="Q22" s="56"/>
      <x:c r="R22" s="56"/>
      <x:c r="S22" s="21"/>
      <x:c r="T22" s="21"/>
      <x:c r="U22" s="21"/>
      <x:c r="V22" s="21"/>
      <x:c r="W22" s="62" t="str">
        <x:f>IF(OR(D22="",E22=""),"",MAX(0,(E22-D22)*1440))</x:f>
      </x:c>
      <x:c r="X22" s="21" t="str">
        <x:f>IF(A22="","",AND(C22="real_user",J22="true",K22="true",L22="true",M22="true",B22&lt;&gt;"",F22&lt;&gt;"",U22=""))</x:f>
      </x:c>
      <x:c r="Y22" s="21" t="str">
        <x:f>IF(A22="","",COUNTIF($A$5:$A$104,A22)&gt;1)</x:f>
      </x:c>
      <x:c r="Z22" s="21" t="str">
        <x:f>IF(B22="","",COUNTIF('参与者'!$A$5:$A$24,B22)=1)</x:f>
      </x:c>
      <x:c r="AA22" s="21" t="str">
        <x:f>IF(N22="","",COUNTIFS('Hook反馈'!$A$5:$A$504,N22,'Hook反馈'!$B$5:$B$504,A22,'Hook反馈'!$E$5:$E$504,"true")=1)</x:f>
      </x:c>
    </x:row>
    <x:row r="23">
      <x:c r="A23" s="21"/>
      <x:c r="B23" s="21"/>
      <x:c r="C23" s="21"/>
      <x:c r="D23" s="60"/>
      <x:c r="E23" s="60"/>
      <x:c r="F23" s="21"/>
      <x:c r="G23" s="21"/>
      <x:c r="H23" s="21"/>
      <x:c r="I23" s="56"/>
      <x:c r="J23" s="21"/>
      <x:c r="K23" s="21"/>
      <x:c r="L23" s="21"/>
      <x:c r="M23" s="21"/>
      <x:c r="N23" s="21"/>
      <x:c r="O23" s="21"/>
      <x:c r="P23" s="21"/>
      <x:c r="Q23" s="56"/>
      <x:c r="R23" s="56"/>
      <x:c r="S23" s="21"/>
      <x:c r="T23" s="21"/>
      <x:c r="U23" s="21"/>
      <x:c r="V23" s="21"/>
      <x:c r="W23" s="62" t="str">
        <x:f>IF(OR(D23="",E23=""),"",MAX(0,(E23-D23)*1440))</x:f>
      </x:c>
      <x:c r="X23" s="21" t="str">
        <x:f>IF(A23="","",AND(C23="real_user",J23="true",K23="true",L23="true",M23="true",B23&lt;&gt;"",F23&lt;&gt;"",U23=""))</x:f>
      </x:c>
      <x:c r="Y23" s="21" t="str">
        <x:f>IF(A23="","",COUNTIF($A$5:$A$104,A23)&gt;1)</x:f>
      </x:c>
      <x:c r="Z23" s="21" t="str">
        <x:f>IF(B23="","",COUNTIF('参与者'!$A$5:$A$24,B23)=1)</x:f>
      </x:c>
      <x:c r="AA23" s="21" t="str">
        <x:f>IF(N23="","",COUNTIFS('Hook反馈'!$A$5:$A$504,N23,'Hook反馈'!$B$5:$B$504,A23,'Hook反馈'!$E$5:$E$504,"true")=1)</x:f>
      </x:c>
    </x:row>
    <x:row r="24">
      <x:c r="A24" s="21"/>
      <x:c r="B24" s="21"/>
      <x:c r="C24" s="21"/>
      <x:c r="D24" s="60"/>
      <x:c r="E24" s="60"/>
      <x:c r="F24" s="21"/>
      <x:c r="G24" s="21"/>
      <x:c r="H24" s="21"/>
      <x:c r="I24" s="56"/>
      <x:c r="J24" s="21"/>
      <x:c r="K24" s="21"/>
      <x:c r="L24" s="21"/>
      <x:c r="M24" s="21"/>
      <x:c r="N24" s="21"/>
      <x:c r="O24" s="21"/>
      <x:c r="P24" s="21"/>
      <x:c r="Q24" s="56"/>
      <x:c r="R24" s="56"/>
      <x:c r="S24" s="21"/>
      <x:c r="T24" s="21"/>
      <x:c r="U24" s="21"/>
      <x:c r="V24" s="21"/>
      <x:c r="W24" s="62" t="str">
        <x:f>IF(OR(D24="",E24=""),"",MAX(0,(E24-D24)*1440))</x:f>
      </x:c>
      <x:c r="X24" s="21" t="str">
        <x:f>IF(A24="","",AND(C24="real_user",J24="true",K24="true",L24="true",M24="true",B24&lt;&gt;"",F24&lt;&gt;"",U24=""))</x:f>
      </x:c>
      <x:c r="Y24" s="21" t="str">
        <x:f>IF(A24="","",COUNTIF($A$5:$A$104,A24)&gt;1)</x:f>
      </x:c>
      <x:c r="Z24" s="21" t="str">
        <x:f>IF(B24="","",COUNTIF('参与者'!$A$5:$A$24,B24)=1)</x:f>
      </x:c>
      <x:c r="AA24" s="21" t="str">
        <x:f>IF(N24="","",COUNTIFS('Hook反馈'!$A$5:$A$504,N24,'Hook反馈'!$B$5:$B$504,A24,'Hook反馈'!$E$5:$E$504,"true")=1)</x:f>
      </x:c>
    </x:row>
    <x:row r="25">
      <x:c r="A25" s="21"/>
      <x:c r="B25" s="21"/>
      <x:c r="C25" s="21"/>
      <x:c r="D25" s="60"/>
      <x:c r="E25" s="60"/>
      <x:c r="F25" s="21"/>
      <x:c r="G25" s="21"/>
      <x:c r="H25" s="21"/>
      <x:c r="I25" s="56"/>
      <x:c r="J25" s="21"/>
      <x:c r="K25" s="21"/>
      <x:c r="L25" s="21"/>
      <x:c r="M25" s="21"/>
      <x:c r="N25" s="21"/>
      <x:c r="O25" s="21"/>
      <x:c r="P25" s="21"/>
      <x:c r="Q25" s="56"/>
      <x:c r="R25" s="56"/>
      <x:c r="S25" s="21"/>
      <x:c r="T25" s="21"/>
      <x:c r="U25" s="21"/>
      <x:c r="V25" s="21"/>
      <x:c r="W25" s="62" t="str">
        <x:f>IF(OR(D25="",E25=""),"",MAX(0,(E25-D25)*1440))</x:f>
      </x:c>
      <x:c r="X25" s="21" t="str">
        <x:f>IF(A25="","",AND(C25="real_user",J25="true",K25="true",L25="true",M25="true",B25&lt;&gt;"",F25&lt;&gt;"",U25=""))</x:f>
      </x:c>
      <x:c r="Y25" s="21" t="str">
        <x:f>IF(A25="","",COUNTIF($A$5:$A$104,A25)&gt;1)</x:f>
      </x:c>
      <x:c r="Z25" s="21" t="str">
        <x:f>IF(B25="","",COUNTIF('参与者'!$A$5:$A$24,B25)=1)</x:f>
      </x:c>
      <x:c r="AA25" s="21" t="str">
        <x:f>IF(N25="","",COUNTIFS('Hook反馈'!$A$5:$A$504,N25,'Hook反馈'!$B$5:$B$504,A25,'Hook反馈'!$E$5:$E$504,"true")=1)</x:f>
      </x:c>
    </x:row>
    <x:row r="26">
      <x:c r="A26" s="21"/>
      <x:c r="B26" s="21"/>
      <x:c r="C26" s="21"/>
      <x:c r="D26" s="60"/>
      <x:c r="E26" s="60"/>
      <x:c r="F26" s="21"/>
      <x:c r="G26" s="21"/>
      <x:c r="H26" s="21"/>
      <x:c r="I26" s="56"/>
      <x:c r="J26" s="21"/>
      <x:c r="K26" s="21"/>
      <x:c r="L26" s="21"/>
      <x:c r="M26" s="21"/>
      <x:c r="N26" s="21"/>
      <x:c r="O26" s="21"/>
      <x:c r="P26" s="21"/>
      <x:c r="Q26" s="56"/>
      <x:c r="R26" s="56"/>
      <x:c r="S26" s="21"/>
      <x:c r="T26" s="21"/>
      <x:c r="U26" s="21"/>
      <x:c r="V26" s="21"/>
      <x:c r="W26" s="62" t="str">
        <x:f>IF(OR(D26="",E26=""),"",MAX(0,(E26-D26)*1440))</x:f>
      </x:c>
      <x:c r="X26" s="21" t="str">
        <x:f>IF(A26="","",AND(C26="real_user",J26="true",K26="true",L26="true",M26="true",B26&lt;&gt;"",F26&lt;&gt;"",U26=""))</x:f>
      </x:c>
      <x:c r="Y26" s="21" t="str">
        <x:f>IF(A26="","",COUNTIF($A$5:$A$104,A26)&gt;1)</x:f>
      </x:c>
      <x:c r="Z26" s="21" t="str">
        <x:f>IF(B26="","",COUNTIF('参与者'!$A$5:$A$24,B26)=1)</x:f>
      </x:c>
      <x:c r="AA26" s="21" t="str">
        <x:f>IF(N26="","",COUNTIFS('Hook反馈'!$A$5:$A$504,N26,'Hook反馈'!$B$5:$B$504,A26,'Hook反馈'!$E$5:$E$504,"true")=1)</x:f>
      </x:c>
    </x:row>
    <x:row r="27">
      <x:c r="A27" s="21"/>
      <x:c r="B27" s="21"/>
      <x:c r="C27" s="21"/>
      <x:c r="D27" s="60"/>
      <x:c r="E27" s="60"/>
      <x:c r="F27" s="21"/>
      <x:c r="G27" s="21"/>
      <x:c r="H27" s="21"/>
      <x:c r="I27" s="56"/>
      <x:c r="J27" s="21"/>
      <x:c r="K27" s="21"/>
      <x:c r="L27" s="21"/>
      <x:c r="M27" s="21"/>
      <x:c r="N27" s="21"/>
      <x:c r="O27" s="21"/>
      <x:c r="P27" s="21"/>
      <x:c r="Q27" s="56"/>
      <x:c r="R27" s="56"/>
      <x:c r="S27" s="21"/>
      <x:c r="T27" s="21"/>
      <x:c r="U27" s="21"/>
      <x:c r="V27" s="21"/>
      <x:c r="W27" s="62" t="str">
        <x:f>IF(OR(D27="",E27=""),"",MAX(0,(E27-D27)*1440))</x:f>
      </x:c>
      <x:c r="X27" s="21" t="str">
        <x:f>IF(A27="","",AND(C27="real_user",J27="true",K27="true",L27="true",M27="true",B27&lt;&gt;"",F27&lt;&gt;"",U27=""))</x:f>
      </x:c>
      <x:c r="Y27" s="21" t="str">
        <x:f>IF(A27="","",COUNTIF($A$5:$A$104,A27)&gt;1)</x:f>
      </x:c>
      <x:c r="Z27" s="21" t="str">
        <x:f>IF(B27="","",COUNTIF('参与者'!$A$5:$A$24,B27)=1)</x:f>
      </x:c>
      <x:c r="AA27" s="21" t="str">
        <x:f>IF(N27="","",COUNTIFS('Hook反馈'!$A$5:$A$504,N27,'Hook反馈'!$B$5:$B$504,A27,'Hook反馈'!$E$5:$E$504,"true")=1)</x:f>
      </x:c>
    </x:row>
    <x:row r="28">
      <x:c r="A28" s="21"/>
      <x:c r="B28" s="21"/>
      <x:c r="C28" s="21"/>
      <x:c r="D28" s="60"/>
      <x:c r="E28" s="60"/>
      <x:c r="F28" s="21"/>
      <x:c r="G28" s="21"/>
      <x:c r="H28" s="21"/>
      <x:c r="I28" s="56"/>
      <x:c r="J28" s="21"/>
      <x:c r="K28" s="21"/>
      <x:c r="L28" s="21"/>
      <x:c r="M28" s="21"/>
      <x:c r="N28" s="21"/>
      <x:c r="O28" s="21"/>
      <x:c r="P28" s="21"/>
      <x:c r="Q28" s="56"/>
      <x:c r="R28" s="56"/>
      <x:c r="S28" s="21"/>
      <x:c r="T28" s="21"/>
      <x:c r="U28" s="21"/>
      <x:c r="V28" s="21"/>
      <x:c r="W28" s="62" t="str">
        <x:f>IF(OR(D28="",E28=""),"",MAX(0,(E28-D28)*1440))</x:f>
      </x:c>
      <x:c r="X28" s="21" t="str">
        <x:f>IF(A28="","",AND(C28="real_user",J28="true",K28="true",L28="true",M28="true",B28&lt;&gt;"",F28&lt;&gt;"",U28=""))</x:f>
      </x:c>
      <x:c r="Y28" s="21" t="str">
        <x:f>IF(A28="","",COUNTIF($A$5:$A$104,A28)&gt;1)</x:f>
      </x:c>
      <x:c r="Z28" s="21" t="str">
        <x:f>IF(B28="","",COUNTIF('参与者'!$A$5:$A$24,B28)=1)</x:f>
      </x:c>
      <x:c r="AA28" s="21" t="str">
        <x:f>IF(N28="","",COUNTIFS('Hook反馈'!$A$5:$A$504,N28,'Hook反馈'!$B$5:$B$504,A28,'Hook反馈'!$E$5:$E$504,"true")=1)</x:f>
      </x:c>
    </x:row>
    <x:row r="29">
      <x:c r="A29" s="21"/>
      <x:c r="B29" s="21"/>
      <x:c r="C29" s="21"/>
      <x:c r="D29" s="60"/>
      <x:c r="E29" s="60"/>
      <x:c r="F29" s="21"/>
      <x:c r="G29" s="21"/>
      <x:c r="H29" s="21"/>
      <x:c r="I29" s="56"/>
      <x:c r="J29" s="21"/>
      <x:c r="K29" s="21"/>
      <x:c r="L29" s="21"/>
      <x:c r="M29" s="21"/>
      <x:c r="N29" s="21"/>
      <x:c r="O29" s="21"/>
      <x:c r="P29" s="21"/>
      <x:c r="Q29" s="56"/>
      <x:c r="R29" s="56"/>
      <x:c r="S29" s="21"/>
      <x:c r="T29" s="21"/>
      <x:c r="U29" s="21"/>
      <x:c r="V29" s="21"/>
      <x:c r="W29" s="62" t="str">
        <x:f>IF(OR(D29="",E29=""),"",MAX(0,(E29-D29)*1440))</x:f>
      </x:c>
      <x:c r="X29" s="21" t="str">
        <x:f>IF(A29="","",AND(C29="real_user",J29="true",K29="true",L29="true",M29="true",B29&lt;&gt;"",F29&lt;&gt;"",U29=""))</x:f>
      </x:c>
      <x:c r="Y29" s="21" t="str">
        <x:f>IF(A29="","",COUNTIF($A$5:$A$104,A29)&gt;1)</x:f>
      </x:c>
      <x:c r="Z29" s="21" t="str">
        <x:f>IF(B29="","",COUNTIF('参与者'!$A$5:$A$24,B29)=1)</x:f>
      </x:c>
      <x:c r="AA29" s="21" t="str">
        <x:f>IF(N29="","",COUNTIFS('Hook反馈'!$A$5:$A$504,N29,'Hook反馈'!$B$5:$B$504,A29,'Hook反馈'!$E$5:$E$504,"true")=1)</x:f>
      </x:c>
    </x:row>
    <x:row r="30">
      <x:c r="A30" s="21"/>
      <x:c r="B30" s="21"/>
      <x:c r="C30" s="21"/>
      <x:c r="D30" s="60"/>
      <x:c r="E30" s="60"/>
      <x:c r="F30" s="21"/>
      <x:c r="G30" s="21"/>
      <x:c r="H30" s="21"/>
      <x:c r="I30" s="56"/>
      <x:c r="J30" s="21"/>
      <x:c r="K30" s="21"/>
      <x:c r="L30" s="21"/>
      <x:c r="M30" s="21"/>
      <x:c r="N30" s="21"/>
      <x:c r="O30" s="21"/>
      <x:c r="P30" s="21"/>
      <x:c r="Q30" s="56"/>
      <x:c r="R30" s="56"/>
      <x:c r="S30" s="21"/>
      <x:c r="T30" s="21"/>
      <x:c r="U30" s="21"/>
      <x:c r="V30" s="21"/>
      <x:c r="W30" s="62" t="str">
        <x:f>IF(OR(D30="",E30=""),"",MAX(0,(E30-D30)*1440))</x:f>
      </x:c>
      <x:c r="X30" s="21" t="str">
        <x:f>IF(A30="","",AND(C30="real_user",J30="true",K30="true",L30="true",M30="true",B30&lt;&gt;"",F30&lt;&gt;"",U30=""))</x:f>
      </x:c>
      <x:c r="Y30" s="21" t="str">
        <x:f>IF(A30="","",COUNTIF($A$5:$A$104,A30)&gt;1)</x:f>
      </x:c>
      <x:c r="Z30" s="21" t="str">
        <x:f>IF(B30="","",COUNTIF('参与者'!$A$5:$A$24,B30)=1)</x:f>
      </x:c>
      <x:c r="AA30" s="21" t="str">
        <x:f>IF(N30="","",COUNTIFS('Hook反馈'!$A$5:$A$504,N30,'Hook反馈'!$B$5:$B$504,A30,'Hook反馈'!$E$5:$E$504,"true")=1)</x:f>
      </x:c>
    </x:row>
    <x:row r="31">
      <x:c r="A31" s="21"/>
      <x:c r="B31" s="21"/>
      <x:c r="C31" s="21"/>
      <x:c r="D31" s="60"/>
      <x:c r="E31" s="60"/>
      <x:c r="F31" s="21"/>
      <x:c r="G31" s="21"/>
      <x:c r="H31" s="21"/>
      <x:c r="I31" s="56"/>
      <x:c r="J31" s="21"/>
      <x:c r="K31" s="21"/>
      <x:c r="L31" s="21"/>
      <x:c r="M31" s="21"/>
      <x:c r="N31" s="21"/>
      <x:c r="O31" s="21"/>
      <x:c r="P31" s="21"/>
      <x:c r="Q31" s="56"/>
      <x:c r="R31" s="56"/>
      <x:c r="S31" s="21"/>
      <x:c r="T31" s="21"/>
      <x:c r="U31" s="21"/>
      <x:c r="V31" s="21"/>
      <x:c r="W31" s="62" t="str">
        <x:f>IF(OR(D31="",E31=""),"",MAX(0,(E31-D31)*1440))</x:f>
      </x:c>
      <x:c r="X31" s="21" t="str">
        <x:f>IF(A31="","",AND(C31="real_user",J31="true",K31="true",L31="true",M31="true",B31&lt;&gt;"",F31&lt;&gt;"",U31=""))</x:f>
      </x:c>
      <x:c r="Y31" s="21" t="str">
        <x:f>IF(A31="","",COUNTIF($A$5:$A$104,A31)&gt;1)</x:f>
      </x:c>
      <x:c r="Z31" s="21" t="str">
        <x:f>IF(B31="","",COUNTIF('参与者'!$A$5:$A$24,B31)=1)</x:f>
      </x:c>
      <x:c r="AA31" s="21" t="str">
        <x:f>IF(N31="","",COUNTIFS('Hook反馈'!$A$5:$A$504,N31,'Hook反馈'!$B$5:$B$504,A31,'Hook反馈'!$E$5:$E$504,"true")=1)</x:f>
      </x:c>
    </x:row>
    <x:row r="32">
      <x:c r="A32" s="21"/>
      <x:c r="B32" s="21"/>
      <x:c r="C32" s="21"/>
      <x:c r="D32" s="60"/>
      <x:c r="E32" s="60"/>
      <x:c r="F32" s="21"/>
      <x:c r="G32" s="21"/>
      <x:c r="H32" s="21"/>
      <x:c r="I32" s="56"/>
      <x:c r="J32" s="21"/>
      <x:c r="K32" s="21"/>
      <x:c r="L32" s="21"/>
      <x:c r="M32" s="21"/>
      <x:c r="N32" s="21"/>
      <x:c r="O32" s="21"/>
      <x:c r="P32" s="21"/>
      <x:c r="Q32" s="56"/>
      <x:c r="R32" s="56"/>
      <x:c r="S32" s="21"/>
      <x:c r="T32" s="21"/>
      <x:c r="U32" s="21"/>
      <x:c r="V32" s="21"/>
      <x:c r="W32" s="62" t="str">
        <x:f>IF(OR(D32="",E32=""),"",MAX(0,(E32-D32)*1440))</x:f>
      </x:c>
      <x:c r="X32" s="21" t="str">
        <x:f>IF(A32="","",AND(C32="real_user",J32="true",K32="true",L32="true",M32="true",B32&lt;&gt;"",F32&lt;&gt;"",U32=""))</x:f>
      </x:c>
      <x:c r="Y32" s="21" t="str">
        <x:f>IF(A32="","",COUNTIF($A$5:$A$104,A32)&gt;1)</x:f>
      </x:c>
      <x:c r="Z32" s="21" t="str">
        <x:f>IF(B32="","",COUNTIF('参与者'!$A$5:$A$24,B32)=1)</x:f>
      </x:c>
      <x:c r="AA32" s="21" t="str">
        <x:f>IF(N32="","",COUNTIFS('Hook反馈'!$A$5:$A$504,N32,'Hook反馈'!$B$5:$B$504,A32,'Hook反馈'!$E$5:$E$504,"true")=1)</x:f>
      </x:c>
    </x:row>
    <x:row r="33">
      <x:c r="A33" s="21"/>
      <x:c r="B33" s="21"/>
      <x:c r="C33" s="21"/>
      <x:c r="D33" s="60"/>
      <x:c r="E33" s="60"/>
      <x:c r="F33" s="21"/>
      <x:c r="G33" s="21"/>
      <x:c r="H33" s="21"/>
      <x:c r="I33" s="56"/>
      <x:c r="J33" s="21"/>
      <x:c r="K33" s="21"/>
      <x:c r="L33" s="21"/>
      <x:c r="M33" s="21"/>
      <x:c r="N33" s="21"/>
      <x:c r="O33" s="21"/>
      <x:c r="P33" s="21"/>
      <x:c r="Q33" s="56"/>
      <x:c r="R33" s="56"/>
      <x:c r="S33" s="21"/>
      <x:c r="T33" s="21"/>
      <x:c r="U33" s="21"/>
      <x:c r="V33" s="21"/>
      <x:c r="W33" s="62" t="str">
        <x:f>IF(OR(D33="",E33=""),"",MAX(0,(E33-D33)*1440))</x:f>
      </x:c>
      <x:c r="X33" s="21" t="str">
        <x:f>IF(A33="","",AND(C33="real_user",J33="true",K33="true",L33="true",M33="true",B33&lt;&gt;"",F33&lt;&gt;"",U33=""))</x:f>
      </x:c>
      <x:c r="Y33" s="21" t="str">
        <x:f>IF(A33="","",COUNTIF($A$5:$A$104,A33)&gt;1)</x:f>
      </x:c>
      <x:c r="Z33" s="21" t="str">
        <x:f>IF(B33="","",COUNTIF('参与者'!$A$5:$A$24,B33)=1)</x:f>
      </x:c>
      <x:c r="AA33" s="21" t="str">
        <x:f>IF(N33="","",COUNTIFS('Hook反馈'!$A$5:$A$504,N33,'Hook反馈'!$B$5:$B$504,A33,'Hook反馈'!$E$5:$E$504,"true")=1)</x:f>
      </x:c>
    </x:row>
    <x:row r="34">
      <x:c r="A34" s="21"/>
      <x:c r="B34" s="21"/>
      <x:c r="C34" s="21"/>
      <x:c r="D34" s="60"/>
      <x:c r="E34" s="60"/>
      <x:c r="F34" s="21"/>
      <x:c r="G34" s="21"/>
      <x:c r="H34" s="21"/>
      <x:c r="I34" s="56"/>
      <x:c r="J34" s="21"/>
      <x:c r="K34" s="21"/>
      <x:c r="L34" s="21"/>
      <x:c r="M34" s="21"/>
      <x:c r="N34" s="21"/>
      <x:c r="O34" s="21"/>
      <x:c r="P34" s="21"/>
      <x:c r="Q34" s="56"/>
      <x:c r="R34" s="56"/>
      <x:c r="S34" s="21"/>
      <x:c r="T34" s="21"/>
      <x:c r="U34" s="21"/>
      <x:c r="V34" s="21"/>
      <x:c r="W34" s="62" t="str">
        <x:f>IF(OR(D34="",E34=""),"",MAX(0,(E34-D34)*1440))</x:f>
      </x:c>
      <x:c r="X34" s="21" t="str">
        <x:f>IF(A34="","",AND(C34="real_user",J34="true",K34="true",L34="true",M34="true",B34&lt;&gt;"",F34&lt;&gt;"",U34=""))</x:f>
      </x:c>
      <x:c r="Y34" s="21" t="str">
        <x:f>IF(A34="","",COUNTIF($A$5:$A$104,A34)&gt;1)</x:f>
      </x:c>
      <x:c r="Z34" s="21" t="str">
        <x:f>IF(B34="","",COUNTIF('参与者'!$A$5:$A$24,B34)=1)</x:f>
      </x:c>
      <x:c r="AA34" s="21" t="str">
        <x:f>IF(N34="","",COUNTIFS('Hook反馈'!$A$5:$A$504,N34,'Hook反馈'!$B$5:$B$504,A34,'Hook反馈'!$E$5:$E$504,"true")=1)</x:f>
      </x:c>
    </x:row>
    <x:row r="35">
      <x:c r="A35" s="21"/>
      <x:c r="B35" s="21"/>
      <x:c r="C35" s="21"/>
      <x:c r="D35" s="60"/>
      <x:c r="E35" s="60"/>
      <x:c r="F35" s="21"/>
      <x:c r="G35" s="21"/>
      <x:c r="H35" s="21"/>
      <x:c r="I35" s="56"/>
      <x:c r="J35" s="21"/>
      <x:c r="K35" s="21"/>
      <x:c r="L35" s="21"/>
      <x:c r="M35" s="21"/>
      <x:c r="N35" s="21"/>
      <x:c r="O35" s="21"/>
      <x:c r="P35" s="21"/>
      <x:c r="Q35" s="56"/>
      <x:c r="R35" s="56"/>
      <x:c r="S35" s="21"/>
      <x:c r="T35" s="21"/>
      <x:c r="U35" s="21"/>
      <x:c r="V35" s="21"/>
      <x:c r="W35" s="62" t="str">
        <x:f>IF(OR(D35="",E35=""),"",MAX(0,(E35-D35)*1440))</x:f>
      </x:c>
      <x:c r="X35" s="21" t="str">
        <x:f>IF(A35="","",AND(C35="real_user",J35="true",K35="true",L35="true",M35="true",B35&lt;&gt;"",F35&lt;&gt;"",U35=""))</x:f>
      </x:c>
      <x:c r="Y35" s="21" t="str">
        <x:f>IF(A35="","",COUNTIF($A$5:$A$104,A35)&gt;1)</x:f>
      </x:c>
      <x:c r="Z35" s="21" t="str">
        <x:f>IF(B35="","",COUNTIF('参与者'!$A$5:$A$24,B35)=1)</x:f>
      </x:c>
      <x:c r="AA35" s="21" t="str">
        <x:f>IF(N35="","",COUNTIFS('Hook反馈'!$A$5:$A$504,N35,'Hook反馈'!$B$5:$B$504,A35,'Hook反馈'!$E$5:$E$504,"true")=1)</x:f>
      </x:c>
    </x:row>
    <x:row r="36">
      <x:c r="A36" s="21"/>
      <x:c r="B36" s="21"/>
      <x:c r="C36" s="21"/>
      <x:c r="D36" s="60"/>
      <x:c r="E36" s="60"/>
      <x:c r="F36" s="21"/>
      <x:c r="G36" s="21"/>
      <x:c r="H36" s="21"/>
      <x:c r="I36" s="56"/>
      <x:c r="J36" s="21"/>
      <x:c r="K36" s="21"/>
      <x:c r="L36" s="21"/>
      <x:c r="M36" s="21"/>
      <x:c r="N36" s="21"/>
      <x:c r="O36" s="21"/>
      <x:c r="P36" s="21"/>
      <x:c r="Q36" s="56"/>
      <x:c r="R36" s="56"/>
      <x:c r="S36" s="21"/>
      <x:c r="T36" s="21"/>
      <x:c r="U36" s="21"/>
      <x:c r="V36" s="21"/>
      <x:c r="W36" s="62" t="str">
        <x:f>IF(OR(D36="",E36=""),"",MAX(0,(E36-D36)*1440))</x:f>
      </x:c>
      <x:c r="X36" s="21" t="str">
        <x:f>IF(A36="","",AND(C36="real_user",J36="true",K36="true",L36="true",M36="true",B36&lt;&gt;"",F36&lt;&gt;"",U36=""))</x:f>
      </x:c>
      <x:c r="Y36" s="21" t="str">
        <x:f>IF(A36="","",COUNTIF($A$5:$A$104,A36)&gt;1)</x:f>
      </x:c>
      <x:c r="Z36" s="21" t="str">
        <x:f>IF(B36="","",COUNTIF('参与者'!$A$5:$A$24,B36)=1)</x:f>
      </x:c>
      <x:c r="AA36" s="21" t="str">
        <x:f>IF(N36="","",COUNTIFS('Hook反馈'!$A$5:$A$504,N36,'Hook反馈'!$B$5:$B$504,A36,'Hook反馈'!$E$5:$E$504,"true")=1)</x:f>
      </x:c>
    </x:row>
    <x:row r="37">
      <x:c r="A37" s="21"/>
      <x:c r="B37" s="21"/>
      <x:c r="C37" s="21"/>
      <x:c r="D37" s="60"/>
      <x:c r="E37" s="60"/>
      <x:c r="F37" s="21"/>
      <x:c r="G37" s="21"/>
      <x:c r="H37" s="21"/>
      <x:c r="I37" s="56"/>
      <x:c r="J37" s="21"/>
      <x:c r="K37" s="21"/>
      <x:c r="L37" s="21"/>
      <x:c r="M37" s="21"/>
      <x:c r="N37" s="21"/>
      <x:c r="O37" s="21"/>
      <x:c r="P37" s="21"/>
      <x:c r="Q37" s="56"/>
      <x:c r="R37" s="56"/>
      <x:c r="S37" s="21"/>
      <x:c r="T37" s="21"/>
      <x:c r="U37" s="21"/>
      <x:c r="V37" s="21"/>
      <x:c r="W37" s="62" t="str">
        <x:f>IF(OR(D37="",E37=""),"",MAX(0,(E37-D37)*1440))</x:f>
      </x:c>
      <x:c r="X37" s="21" t="str">
        <x:f>IF(A37="","",AND(C37="real_user",J37="true",K37="true",L37="true",M37="true",B37&lt;&gt;"",F37&lt;&gt;"",U37=""))</x:f>
      </x:c>
      <x:c r="Y37" s="21" t="str">
        <x:f>IF(A37="","",COUNTIF($A$5:$A$104,A37)&gt;1)</x:f>
      </x:c>
      <x:c r="Z37" s="21" t="str">
        <x:f>IF(B37="","",COUNTIF('参与者'!$A$5:$A$24,B37)=1)</x:f>
      </x:c>
      <x:c r="AA37" s="21" t="str">
        <x:f>IF(N37="","",COUNTIFS('Hook反馈'!$A$5:$A$504,N37,'Hook反馈'!$B$5:$B$504,A37,'Hook反馈'!$E$5:$E$504,"true")=1)</x:f>
      </x:c>
    </x:row>
    <x:row r="38">
      <x:c r="A38" s="21"/>
      <x:c r="B38" s="21"/>
      <x:c r="C38" s="21"/>
      <x:c r="D38" s="60"/>
      <x:c r="E38" s="60"/>
      <x:c r="F38" s="21"/>
      <x:c r="G38" s="21"/>
      <x:c r="H38" s="21"/>
      <x:c r="I38" s="56"/>
      <x:c r="J38" s="21"/>
      <x:c r="K38" s="21"/>
      <x:c r="L38" s="21"/>
      <x:c r="M38" s="21"/>
      <x:c r="N38" s="21"/>
      <x:c r="O38" s="21"/>
      <x:c r="P38" s="21"/>
      <x:c r="Q38" s="56"/>
      <x:c r="R38" s="56"/>
      <x:c r="S38" s="21"/>
      <x:c r="T38" s="21"/>
      <x:c r="U38" s="21"/>
      <x:c r="V38" s="21"/>
      <x:c r="W38" s="62" t="str">
        <x:f>IF(OR(D38="",E38=""),"",MAX(0,(E38-D38)*1440))</x:f>
      </x:c>
      <x:c r="X38" s="21" t="str">
        <x:f>IF(A38="","",AND(C38="real_user",J38="true",K38="true",L38="true",M38="true",B38&lt;&gt;"",F38&lt;&gt;"",U38=""))</x:f>
      </x:c>
      <x:c r="Y38" s="21" t="str">
        <x:f>IF(A38="","",COUNTIF($A$5:$A$104,A38)&gt;1)</x:f>
      </x:c>
      <x:c r="Z38" s="21" t="str">
        <x:f>IF(B38="","",COUNTIF('参与者'!$A$5:$A$24,B38)=1)</x:f>
      </x:c>
      <x:c r="AA38" s="21" t="str">
        <x:f>IF(N38="","",COUNTIFS('Hook反馈'!$A$5:$A$504,N38,'Hook反馈'!$B$5:$B$504,A38,'Hook反馈'!$E$5:$E$504,"true")=1)</x:f>
      </x:c>
    </x:row>
    <x:row r="39">
      <x:c r="A39" s="21"/>
      <x:c r="B39" s="21"/>
      <x:c r="C39" s="21"/>
      <x:c r="D39" s="60"/>
      <x:c r="E39" s="60"/>
      <x:c r="F39" s="21"/>
      <x:c r="G39" s="21"/>
      <x:c r="H39" s="21"/>
      <x:c r="I39" s="56"/>
      <x:c r="J39" s="21"/>
      <x:c r="K39" s="21"/>
      <x:c r="L39" s="21"/>
      <x:c r="M39" s="21"/>
      <x:c r="N39" s="21"/>
      <x:c r="O39" s="21"/>
      <x:c r="P39" s="21"/>
      <x:c r="Q39" s="56"/>
      <x:c r="R39" s="56"/>
      <x:c r="S39" s="21"/>
      <x:c r="T39" s="21"/>
      <x:c r="U39" s="21"/>
      <x:c r="V39" s="21"/>
      <x:c r="W39" s="62" t="str">
        <x:f>IF(OR(D39="",E39=""),"",MAX(0,(E39-D39)*1440))</x:f>
      </x:c>
      <x:c r="X39" s="21" t="str">
        <x:f>IF(A39="","",AND(C39="real_user",J39="true",K39="true",L39="true",M39="true",B39&lt;&gt;"",F39&lt;&gt;"",U39=""))</x:f>
      </x:c>
      <x:c r="Y39" s="21" t="str">
        <x:f>IF(A39="","",COUNTIF($A$5:$A$104,A39)&gt;1)</x:f>
      </x:c>
      <x:c r="Z39" s="21" t="str">
        <x:f>IF(B39="","",COUNTIF('参与者'!$A$5:$A$24,B39)=1)</x:f>
      </x:c>
      <x:c r="AA39" s="21" t="str">
        <x:f>IF(N39="","",COUNTIFS('Hook反馈'!$A$5:$A$504,N39,'Hook反馈'!$B$5:$B$504,A39,'Hook反馈'!$E$5:$E$504,"true")=1)</x:f>
      </x:c>
    </x:row>
    <x:row r="40">
      <x:c r="A40" s="21"/>
      <x:c r="B40" s="21"/>
      <x:c r="C40" s="21"/>
      <x:c r="D40" s="60"/>
      <x:c r="E40" s="60"/>
      <x:c r="F40" s="21"/>
      <x:c r="G40" s="21"/>
      <x:c r="H40" s="21"/>
      <x:c r="I40" s="56"/>
      <x:c r="J40" s="21"/>
      <x:c r="K40" s="21"/>
      <x:c r="L40" s="21"/>
      <x:c r="M40" s="21"/>
      <x:c r="N40" s="21"/>
      <x:c r="O40" s="21"/>
      <x:c r="P40" s="21"/>
      <x:c r="Q40" s="56"/>
      <x:c r="R40" s="56"/>
      <x:c r="S40" s="21"/>
      <x:c r="T40" s="21"/>
      <x:c r="U40" s="21"/>
      <x:c r="V40" s="21"/>
      <x:c r="W40" s="62" t="str">
        <x:f>IF(OR(D40="",E40=""),"",MAX(0,(E40-D40)*1440))</x:f>
      </x:c>
      <x:c r="X40" s="21" t="str">
        <x:f>IF(A40="","",AND(C40="real_user",J40="true",K40="true",L40="true",M40="true",B40&lt;&gt;"",F40&lt;&gt;"",U40=""))</x:f>
      </x:c>
      <x:c r="Y40" s="21" t="str">
        <x:f>IF(A40="","",COUNTIF($A$5:$A$104,A40)&gt;1)</x:f>
      </x:c>
      <x:c r="Z40" s="21" t="str">
        <x:f>IF(B40="","",COUNTIF('参与者'!$A$5:$A$24,B40)=1)</x:f>
      </x:c>
      <x:c r="AA40" s="21" t="str">
        <x:f>IF(N40="","",COUNTIFS('Hook反馈'!$A$5:$A$504,N40,'Hook反馈'!$B$5:$B$504,A40,'Hook反馈'!$E$5:$E$504,"true")=1)</x:f>
      </x:c>
    </x:row>
    <x:row r="41">
      <x:c r="A41" s="21"/>
      <x:c r="B41" s="21"/>
      <x:c r="C41" s="21"/>
      <x:c r="D41" s="60"/>
      <x:c r="E41" s="60"/>
      <x:c r="F41" s="21"/>
      <x:c r="G41" s="21"/>
      <x:c r="H41" s="21"/>
      <x:c r="I41" s="56"/>
      <x:c r="J41" s="21"/>
      <x:c r="K41" s="21"/>
      <x:c r="L41" s="21"/>
      <x:c r="M41" s="21"/>
      <x:c r="N41" s="21"/>
      <x:c r="O41" s="21"/>
      <x:c r="P41" s="21"/>
      <x:c r="Q41" s="56"/>
      <x:c r="R41" s="56"/>
      <x:c r="S41" s="21"/>
      <x:c r="T41" s="21"/>
      <x:c r="U41" s="21"/>
      <x:c r="V41" s="21"/>
      <x:c r="W41" s="62" t="str">
        <x:f>IF(OR(D41="",E41=""),"",MAX(0,(E41-D41)*1440))</x:f>
      </x:c>
      <x:c r="X41" s="21" t="str">
        <x:f>IF(A41="","",AND(C41="real_user",J41="true",K41="true",L41="true",M41="true",B41&lt;&gt;"",F41&lt;&gt;"",U41=""))</x:f>
      </x:c>
      <x:c r="Y41" s="21" t="str">
        <x:f>IF(A41="","",COUNTIF($A$5:$A$104,A41)&gt;1)</x:f>
      </x:c>
      <x:c r="Z41" s="21" t="str">
        <x:f>IF(B41="","",COUNTIF('参与者'!$A$5:$A$24,B41)=1)</x:f>
      </x:c>
      <x:c r="AA41" s="21" t="str">
        <x:f>IF(N41="","",COUNTIFS('Hook反馈'!$A$5:$A$504,N41,'Hook反馈'!$B$5:$B$504,A41,'Hook反馈'!$E$5:$E$504,"true")=1)</x:f>
      </x:c>
    </x:row>
    <x:row r="42">
      <x:c r="A42" s="21"/>
      <x:c r="B42" s="21"/>
      <x:c r="C42" s="21"/>
      <x:c r="D42" s="60"/>
      <x:c r="E42" s="60"/>
      <x:c r="F42" s="21"/>
      <x:c r="G42" s="21"/>
      <x:c r="H42" s="21"/>
      <x:c r="I42" s="56"/>
      <x:c r="J42" s="21"/>
      <x:c r="K42" s="21"/>
      <x:c r="L42" s="21"/>
      <x:c r="M42" s="21"/>
      <x:c r="N42" s="21"/>
      <x:c r="O42" s="21"/>
      <x:c r="P42" s="21"/>
      <x:c r="Q42" s="56"/>
      <x:c r="R42" s="56"/>
      <x:c r="S42" s="21"/>
      <x:c r="T42" s="21"/>
      <x:c r="U42" s="21"/>
      <x:c r="V42" s="21"/>
      <x:c r="W42" s="62" t="str">
        <x:f>IF(OR(D42="",E42=""),"",MAX(0,(E42-D42)*1440))</x:f>
      </x:c>
      <x:c r="X42" s="21" t="str">
        <x:f>IF(A42="","",AND(C42="real_user",J42="true",K42="true",L42="true",M42="true",B42&lt;&gt;"",F42&lt;&gt;"",U42=""))</x:f>
      </x:c>
      <x:c r="Y42" s="21" t="str">
        <x:f>IF(A42="","",COUNTIF($A$5:$A$104,A42)&gt;1)</x:f>
      </x:c>
      <x:c r="Z42" s="21" t="str">
        <x:f>IF(B42="","",COUNTIF('参与者'!$A$5:$A$24,B42)=1)</x:f>
      </x:c>
      <x:c r="AA42" s="21" t="str">
        <x:f>IF(N42="","",COUNTIFS('Hook反馈'!$A$5:$A$504,N42,'Hook反馈'!$B$5:$B$504,A42,'Hook反馈'!$E$5:$E$504,"true")=1)</x:f>
      </x:c>
    </x:row>
    <x:row r="43">
      <x:c r="A43" s="21"/>
      <x:c r="B43" s="21"/>
      <x:c r="C43" s="21"/>
      <x:c r="D43" s="60"/>
      <x:c r="E43" s="60"/>
      <x:c r="F43" s="21"/>
      <x:c r="G43" s="21"/>
      <x:c r="H43" s="21"/>
      <x:c r="I43" s="56"/>
      <x:c r="J43" s="21"/>
      <x:c r="K43" s="21"/>
      <x:c r="L43" s="21"/>
      <x:c r="M43" s="21"/>
      <x:c r="N43" s="21"/>
      <x:c r="O43" s="21"/>
      <x:c r="P43" s="21"/>
      <x:c r="Q43" s="56"/>
      <x:c r="R43" s="56"/>
      <x:c r="S43" s="21"/>
      <x:c r="T43" s="21"/>
      <x:c r="U43" s="21"/>
      <x:c r="V43" s="21"/>
      <x:c r="W43" s="62" t="str">
        <x:f>IF(OR(D43="",E43=""),"",MAX(0,(E43-D43)*1440))</x:f>
      </x:c>
      <x:c r="X43" s="21" t="str">
        <x:f>IF(A43="","",AND(C43="real_user",J43="true",K43="true",L43="true",M43="true",B43&lt;&gt;"",F43&lt;&gt;"",U43=""))</x:f>
      </x:c>
      <x:c r="Y43" s="21" t="str">
        <x:f>IF(A43="","",COUNTIF($A$5:$A$104,A43)&gt;1)</x:f>
      </x:c>
      <x:c r="Z43" s="21" t="str">
        <x:f>IF(B43="","",COUNTIF('参与者'!$A$5:$A$24,B43)=1)</x:f>
      </x:c>
      <x:c r="AA43" s="21" t="str">
        <x:f>IF(N43="","",COUNTIFS('Hook反馈'!$A$5:$A$504,N43,'Hook反馈'!$B$5:$B$504,A43,'Hook反馈'!$E$5:$E$504,"true")=1)</x:f>
      </x:c>
    </x:row>
    <x:row r="44">
      <x:c r="A44" s="21"/>
      <x:c r="B44" s="21"/>
      <x:c r="C44" s="21"/>
      <x:c r="D44" s="60"/>
      <x:c r="E44" s="60"/>
      <x:c r="F44" s="21"/>
      <x:c r="G44" s="21"/>
      <x:c r="H44" s="21"/>
      <x:c r="I44" s="56"/>
      <x:c r="J44" s="21"/>
      <x:c r="K44" s="21"/>
      <x:c r="L44" s="21"/>
      <x:c r="M44" s="21"/>
      <x:c r="N44" s="21"/>
      <x:c r="O44" s="21"/>
      <x:c r="P44" s="21"/>
      <x:c r="Q44" s="56"/>
      <x:c r="R44" s="56"/>
      <x:c r="S44" s="21"/>
      <x:c r="T44" s="21"/>
      <x:c r="U44" s="21"/>
      <x:c r="V44" s="21"/>
      <x:c r="W44" s="62" t="str">
        <x:f>IF(OR(D44="",E44=""),"",MAX(0,(E44-D44)*1440))</x:f>
      </x:c>
      <x:c r="X44" s="21" t="str">
        <x:f>IF(A44="","",AND(C44="real_user",J44="true",K44="true",L44="true",M44="true",B44&lt;&gt;"",F44&lt;&gt;"",U44=""))</x:f>
      </x:c>
      <x:c r="Y44" s="21" t="str">
        <x:f>IF(A44="","",COUNTIF($A$5:$A$104,A44)&gt;1)</x:f>
      </x:c>
      <x:c r="Z44" s="21" t="str">
        <x:f>IF(B44="","",COUNTIF('参与者'!$A$5:$A$24,B44)=1)</x:f>
      </x:c>
      <x:c r="AA44" s="21" t="str">
        <x:f>IF(N44="","",COUNTIFS('Hook反馈'!$A$5:$A$504,N44,'Hook反馈'!$B$5:$B$504,A44,'Hook反馈'!$E$5:$E$504,"true")=1)</x:f>
      </x:c>
    </x:row>
    <x:row r="45">
      <x:c r="A45" s="21"/>
      <x:c r="B45" s="21"/>
      <x:c r="C45" s="21"/>
      <x:c r="D45" s="60"/>
      <x:c r="E45" s="60"/>
      <x:c r="F45" s="21"/>
      <x:c r="G45" s="21"/>
      <x:c r="H45" s="21"/>
      <x:c r="I45" s="56"/>
      <x:c r="J45" s="21"/>
      <x:c r="K45" s="21"/>
      <x:c r="L45" s="21"/>
      <x:c r="M45" s="21"/>
      <x:c r="N45" s="21"/>
      <x:c r="O45" s="21"/>
      <x:c r="P45" s="21"/>
      <x:c r="Q45" s="56"/>
      <x:c r="R45" s="56"/>
      <x:c r="S45" s="21"/>
      <x:c r="T45" s="21"/>
      <x:c r="U45" s="21"/>
      <x:c r="V45" s="21"/>
      <x:c r="W45" s="62" t="str">
        <x:f>IF(OR(D45="",E45=""),"",MAX(0,(E45-D45)*1440))</x:f>
      </x:c>
      <x:c r="X45" s="21" t="str">
        <x:f>IF(A45="","",AND(C45="real_user",J45="true",K45="true",L45="true",M45="true",B45&lt;&gt;"",F45&lt;&gt;"",U45=""))</x:f>
      </x:c>
      <x:c r="Y45" s="21" t="str">
        <x:f>IF(A45="","",COUNTIF($A$5:$A$104,A45)&gt;1)</x:f>
      </x:c>
      <x:c r="Z45" s="21" t="str">
        <x:f>IF(B45="","",COUNTIF('参与者'!$A$5:$A$24,B45)=1)</x:f>
      </x:c>
      <x:c r="AA45" s="21" t="str">
        <x:f>IF(N45="","",COUNTIFS('Hook反馈'!$A$5:$A$504,N45,'Hook反馈'!$B$5:$B$504,A45,'Hook反馈'!$E$5:$E$504,"true")=1)</x:f>
      </x:c>
    </x:row>
    <x:row r="46">
      <x:c r="A46" s="21"/>
      <x:c r="B46" s="21"/>
      <x:c r="C46" s="21"/>
      <x:c r="D46" s="60"/>
      <x:c r="E46" s="60"/>
      <x:c r="F46" s="21"/>
      <x:c r="G46" s="21"/>
      <x:c r="H46" s="21"/>
      <x:c r="I46" s="56"/>
      <x:c r="J46" s="21"/>
      <x:c r="K46" s="21"/>
      <x:c r="L46" s="21"/>
      <x:c r="M46" s="21"/>
      <x:c r="N46" s="21"/>
      <x:c r="O46" s="21"/>
      <x:c r="P46" s="21"/>
      <x:c r="Q46" s="56"/>
      <x:c r="R46" s="56"/>
      <x:c r="S46" s="21"/>
      <x:c r="T46" s="21"/>
      <x:c r="U46" s="21"/>
      <x:c r="V46" s="21"/>
      <x:c r="W46" s="62" t="str">
        <x:f>IF(OR(D46="",E46=""),"",MAX(0,(E46-D46)*1440))</x:f>
      </x:c>
      <x:c r="X46" s="21" t="str">
        <x:f>IF(A46="","",AND(C46="real_user",J46="true",K46="true",L46="true",M46="true",B46&lt;&gt;"",F46&lt;&gt;"",U46=""))</x:f>
      </x:c>
      <x:c r="Y46" s="21" t="str">
        <x:f>IF(A46="","",COUNTIF($A$5:$A$104,A46)&gt;1)</x:f>
      </x:c>
      <x:c r="Z46" s="21" t="str">
        <x:f>IF(B46="","",COUNTIF('参与者'!$A$5:$A$24,B46)=1)</x:f>
      </x:c>
      <x:c r="AA46" s="21" t="str">
        <x:f>IF(N46="","",COUNTIFS('Hook反馈'!$A$5:$A$504,N46,'Hook反馈'!$B$5:$B$504,A46,'Hook反馈'!$E$5:$E$504,"true")=1)</x:f>
      </x:c>
    </x:row>
    <x:row r="47">
      <x:c r="A47" s="21"/>
      <x:c r="B47" s="21"/>
      <x:c r="C47" s="21"/>
      <x:c r="D47" s="60"/>
      <x:c r="E47" s="60"/>
      <x:c r="F47" s="21"/>
      <x:c r="G47" s="21"/>
      <x:c r="H47" s="21"/>
      <x:c r="I47" s="56"/>
      <x:c r="J47" s="21"/>
      <x:c r="K47" s="21"/>
      <x:c r="L47" s="21"/>
      <x:c r="M47" s="21"/>
      <x:c r="N47" s="21"/>
      <x:c r="O47" s="21"/>
      <x:c r="P47" s="21"/>
      <x:c r="Q47" s="56"/>
      <x:c r="R47" s="56"/>
      <x:c r="S47" s="21"/>
      <x:c r="T47" s="21"/>
      <x:c r="U47" s="21"/>
      <x:c r="V47" s="21"/>
      <x:c r="W47" s="62" t="str">
        <x:f>IF(OR(D47="",E47=""),"",MAX(0,(E47-D47)*1440))</x:f>
      </x:c>
      <x:c r="X47" s="21" t="str">
        <x:f>IF(A47="","",AND(C47="real_user",J47="true",K47="true",L47="true",M47="true",B47&lt;&gt;"",F47&lt;&gt;"",U47=""))</x:f>
      </x:c>
      <x:c r="Y47" s="21" t="str">
        <x:f>IF(A47="","",COUNTIF($A$5:$A$104,A47)&gt;1)</x:f>
      </x:c>
      <x:c r="Z47" s="21" t="str">
        <x:f>IF(B47="","",COUNTIF('参与者'!$A$5:$A$24,B47)=1)</x:f>
      </x:c>
      <x:c r="AA47" s="21" t="str">
        <x:f>IF(N47="","",COUNTIFS('Hook反馈'!$A$5:$A$504,N47,'Hook反馈'!$B$5:$B$504,A47,'Hook反馈'!$E$5:$E$504,"true")=1)</x:f>
      </x:c>
    </x:row>
    <x:row r="48">
      <x:c r="A48" s="21"/>
      <x:c r="B48" s="21"/>
      <x:c r="C48" s="21"/>
      <x:c r="D48" s="60"/>
      <x:c r="E48" s="60"/>
      <x:c r="F48" s="21"/>
      <x:c r="G48" s="21"/>
      <x:c r="H48" s="21"/>
      <x:c r="I48" s="56"/>
      <x:c r="J48" s="21"/>
      <x:c r="K48" s="21"/>
      <x:c r="L48" s="21"/>
      <x:c r="M48" s="21"/>
      <x:c r="N48" s="21"/>
      <x:c r="O48" s="21"/>
      <x:c r="P48" s="21"/>
      <x:c r="Q48" s="56"/>
      <x:c r="R48" s="56"/>
      <x:c r="S48" s="21"/>
      <x:c r="T48" s="21"/>
      <x:c r="U48" s="21"/>
      <x:c r="V48" s="21"/>
      <x:c r="W48" s="62" t="str">
        <x:f>IF(OR(D48="",E48=""),"",MAX(0,(E48-D48)*1440))</x:f>
      </x:c>
      <x:c r="X48" s="21" t="str">
        <x:f>IF(A48="","",AND(C48="real_user",J48="true",K48="true",L48="true",M48="true",B48&lt;&gt;"",F48&lt;&gt;"",U48=""))</x:f>
      </x:c>
      <x:c r="Y48" s="21" t="str">
        <x:f>IF(A48="","",COUNTIF($A$5:$A$104,A48)&gt;1)</x:f>
      </x:c>
      <x:c r="Z48" s="21" t="str">
        <x:f>IF(B48="","",COUNTIF('参与者'!$A$5:$A$24,B48)=1)</x:f>
      </x:c>
      <x:c r="AA48" s="21" t="str">
        <x:f>IF(N48="","",COUNTIFS('Hook反馈'!$A$5:$A$504,N48,'Hook反馈'!$B$5:$B$504,A48,'Hook反馈'!$E$5:$E$504,"true")=1)</x:f>
      </x:c>
    </x:row>
    <x:row r="49">
      <x:c r="A49" s="21"/>
      <x:c r="B49" s="21"/>
      <x:c r="C49" s="21"/>
      <x:c r="D49" s="60"/>
      <x:c r="E49" s="60"/>
      <x:c r="F49" s="21"/>
      <x:c r="G49" s="21"/>
      <x:c r="H49" s="21"/>
      <x:c r="I49" s="56"/>
      <x:c r="J49" s="21"/>
      <x:c r="K49" s="21"/>
      <x:c r="L49" s="21"/>
      <x:c r="M49" s="21"/>
      <x:c r="N49" s="21"/>
      <x:c r="O49" s="21"/>
      <x:c r="P49" s="21"/>
      <x:c r="Q49" s="56"/>
      <x:c r="R49" s="56"/>
      <x:c r="S49" s="21"/>
      <x:c r="T49" s="21"/>
      <x:c r="U49" s="21"/>
      <x:c r="V49" s="21"/>
      <x:c r="W49" s="62" t="str">
        <x:f>IF(OR(D49="",E49=""),"",MAX(0,(E49-D49)*1440))</x:f>
      </x:c>
      <x:c r="X49" s="21" t="str">
        <x:f>IF(A49="","",AND(C49="real_user",J49="true",K49="true",L49="true",M49="true",B49&lt;&gt;"",F49&lt;&gt;"",U49=""))</x:f>
      </x:c>
      <x:c r="Y49" s="21" t="str">
        <x:f>IF(A49="","",COUNTIF($A$5:$A$104,A49)&gt;1)</x:f>
      </x:c>
      <x:c r="Z49" s="21" t="str">
        <x:f>IF(B49="","",COUNTIF('参与者'!$A$5:$A$24,B49)=1)</x:f>
      </x:c>
      <x:c r="AA49" s="21" t="str">
        <x:f>IF(N49="","",COUNTIFS('Hook反馈'!$A$5:$A$504,N49,'Hook反馈'!$B$5:$B$504,A49,'Hook反馈'!$E$5:$E$504,"true")=1)</x:f>
      </x:c>
    </x:row>
    <x:row r="50">
      <x:c r="A50" s="21"/>
      <x:c r="B50" s="21"/>
      <x:c r="C50" s="21"/>
      <x:c r="D50" s="60"/>
      <x:c r="E50" s="60"/>
      <x:c r="F50" s="21"/>
      <x:c r="G50" s="21"/>
      <x:c r="H50" s="21"/>
      <x:c r="I50" s="56"/>
      <x:c r="J50" s="21"/>
      <x:c r="K50" s="21"/>
      <x:c r="L50" s="21"/>
      <x:c r="M50" s="21"/>
      <x:c r="N50" s="21"/>
      <x:c r="O50" s="21"/>
      <x:c r="P50" s="21"/>
      <x:c r="Q50" s="56"/>
      <x:c r="R50" s="56"/>
      <x:c r="S50" s="21"/>
      <x:c r="T50" s="21"/>
      <x:c r="U50" s="21"/>
      <x:c r="V50" s="21"/>
      <x:c r="W50" s="62" t="str">
        <x:f>IF(OR(D50="",E50=""),"",MAX(0,(E50-D50)*1440))</x:f>
      </x:c>
      <x:c r="X50" s="21" t="str">
        <x:f>IF(A50="","",AND(C50="real_user",J50="true",K50="true",L50="true",M50="true",B50&lt;&gt;"",F50&lt;&gt;"",U50=""))</x:f>
      </x:c>
      <x:c r="Y50" s="21" t="str">
        <x:f>IF(A50="","",COUNTIF($A$5:$A$104,A50)&gt;1)</x:f>
      </x:c>
      <x:c r="Z50" s="21" t="str">
        <x:f>IF(B50="","",COUNTIF('参与者'!$A$5:$A$24,B50)=1)</x:f>
      </x:c>
      <x:c r="AA50" s="21" t="str">
        <x:f>IF(N50="","",COUNTIFS('Hook反馈'!$A$5:$A$504,N50,'Hook反馈'!$B$5:$B$504,A50,'Hook反馈'!$E$5:$E$504,"true")=1)</x:f>
      </x:c>
    </x:row>
    <x:row r="51">
      <x:c r="A51" s="21"/>
      <x:c r="B51" s="21"/>
      <x:c r="C51" s="21"/>
      <x:c r="D51" s="60"/>
      <x:c r="E51" s="60"/>
      <x:c r="F51" s="21"/>
      <x:c r="G51" s="21"/>
      <x:c r="H51" s="21"/>
      <x:c r="I51" s="56"/>
      <x:c r="J51" s="21"/>
      <x:c r="K51" s="21"/>
      <x:c r="L51" s="21"/>
      <x:c r="M51" s="21"/>
      <x:c r="N51" s="21"/>
      <x:c r="O51" s="21"/>
      <x:c r="P51" s="21"/>
      <x:c r="Q51" s="56"/>
      <x:c r="R51" s="56"/>
      <x:c r="S51" s="21"/>
      <x:c r="T51" s="21"/>
      <x:c r="U51" s="21"/>
      <x:c r="V51" s="21"/>
      <x:c r="W51" s="62" t="str">
        <x:f>IF(OR(D51="",E51=""),"",MAX(0,(E51-D51)*1440))</x:f>
      </x:c>
      <x:c r="X51" s="21" t="str">
        <x:f>IF(A51="","",AND(C51="real_user",J51="true",K51="true",L51="true",M51="true",B51&lt;&gt;"",F51&lt;&gt;"",U51=""))</x:f>
      </x:c>
      <x:c r="Y51" s="21" t="str">
        <x:f>IF(A51="","",COUNTIF($A$5:$A$104,A51)&gt;1)</x:f>
      </x:c>
      <x:c r="Z51" s="21" t="str">
        <x:f>IF(B51="","",COUNTIF('参与者'!$A$5:$A$24,B51)=1)</x:f>
      </x:c>
      <x:c r="AA51" s="21" t="str">
        <x:f>IF(N51="","",COUNTIFS('Hook反馈'!$A$5:$A$504,N51,'Hook反馈'!$B$5:$B$504,A51,'Hook反馈'!$E$5:$E$504,"true")=1)</x:f>
      </x:c>
    </x:row>
    <x:row r="52">
      <x:c r="A52" s="21"/>
      <x:c r="B52" s="21"/>
      <x:c r="C52" s="21"/>
      <x:c r="D52" s="60"/>
      <x:c r="E52" s="60"/>
      <x:c r="F52" s="21"/>
      <x:c r="G52" s="21"/>
      <x:c r="H52" s="21"/>
      <x:c r="I52" s="56"/>
      <x:c r="J52" s="21"/>
      <x:c r="K52" s="21"/>
      <x:c r="L52" s="21"/>
      <x:c r="M52" s="21"/>
      <x:c r="N52" s="21"/>
      <x:c r="O52" s="21"/>
      <x:c r="P52" s="21"/>
      <x:c r="Q52" s="56"/>
      <x:c r="R52" s="56"/>
      <x:c r="S52" s="21"/>
      <x:c r="T52" s="21"/>
      <x:c r="U52" s="21"/>
      <x:c r="V52" s="21"/>
      <x:c r="W52" s="62" t="str">
        <x:f>IF(OR(D52="",E52=""),"",MAX(0,(E52-D52)*1440))</x:f>
      </x:c>
      <x:c r="X52" s="21" t="str">
        <x:f>IF(A52="","",AND(C52="real_user",J52="true",K52="true",L52="true",M52="true",B52&lt;&gt;"",F52&lt;&gt;"",U52=""))</x:f>
      </x:c>
      <x:c r="Y52" s="21" t="str">
        <x:f>IF(A52="","",COUNTIF($A$5:$A$104,A52)&gt;1)</x:f>
      </x:c>
      <x:c r="Z52" s="21" t="str">
        <x:f>IF(B52="","",COUNTIF('参与者'!$A$5:$A$24,B52)=1)</x:f>
      </x:c>
      <x:c r="AA52" s="21" t="str">
        <x:f>IF(N52="","",COUNTIFS('Hook反馈'!$A$5:$A$504,N52,'Hook反馈'!$B$5:$B$504,A52,'Hook反馈'!$E$5:$E$504,"true")=1)</x:f>
      </x:c>
    </x:row>
    <x:row r="53">
      <x:c r="A53" s="21"/>
      <x:c r="B53" s="21"/>
      <x:c r="C53" s="21"/>
      <x:c r="D53" s="60"/>
      <x:c r="E53" s="60"/>
      <x:c r="F53" s="21"/>
      <x:c r="G53" s="21"/>
      <x:c r="H53" s="21"/>
      <x:c r="I53" s="56"/>
      <x:c r="J53" s="21"/>
      <x:c r="K53" s="21"/>
      <x:c r="L53" s="21"/>
      <x:c r="M53" s="21"/>
      <x:c r="N53" s="21"/>
      <x:c r="O53" s="21"/>
      <x:c r="P53" s="21"/>
      <x:c r="Q53" s="56"/>
      <x:c r="R53" s="56"/>
      <x:c r="S53" s="21"/>
      <x:c r="T53" s="21"/>
      <x:c r="U53" s="21"/>
      <x:c r="V53" s="21"/>
      <x:c r="W53" s="62" t="str">
        <x:f>IF(OR(D53="",E53=""),"",MAX(0,(E53-D53)*1440))</x:f>
      </x:c>
      <x:c r="X53" s="21" t="str">
        <x:f>IF(A53="","",AND(C53="real_user",J53="true",K53="true",L53="true",M53="true",B53&lt;&gt;"",F53&lt;&gt;"",U53=""))</x:f>
      </x:c>
      <x:c r="Y53" s="21" t="str">
        <x:f>IF(A53="","",COUNTIF($A$5:$A$104,A53)&gt;1)</x:f>
      </x:c>
      <x:c r="Z53" s="21" t="str">
        <x:f>IF(B53="","",COUNTIF('参与者'!$A$5:$A$24,B53)=1)</x:f>
      </x:c>
      <x:c r="AA53" s="21" t="str">
        <x:f>IF(N53="","",COUNTIFS('Hook反馈'!$A$5:$A$504,N53,'Hook反馈'!$B$5:$B$504,A53,'Hook反馈'!$E$5:$E$504,"true")=1)</x:f>
      </x:c>
    </x:row>
    <x:row r="54">
      <x:c r="A54" s="21"/>
      <x:c r="B54" s="21"/>
      <x:c r="C54" s="21"/>
      <x:c r="D54" s="60"/>
      <x:c r="E54" s="60"/>
      <x:c r="F54" s="21"/>
      <x:c r="G54" s="21"/>
      <x:c r="H54" s="21"/>
      <x:c r="I54" s="56"/>
      <x:c r="J54" s="21"/>
      <x:c r="K54" s="21"/>
      <x:c r="L54" s="21"/>
      <x:c r="M54" s="21"/>
      <x:c r="N54" s="21"/>
      <x:c r="O54" s="21"/>
      <x:c r="P54" s="21"/>
      <x:c r="Q54" s="56"/>
      <x:c r="R54" s="56"/>
      <x:c r="S54" s="21"/>
      <x:c r="T54" s="21"/>
      <x:c r="U54" s="21"/>
      <x:c r="V54" s="21"/>
      <x:c r="W54" s="62" t="str">
        <x:f>IF(OR(D54="",E54=""),"",MAX(0,(E54-D54)*1440))</x:f>
      </x:c>
      <x:c r="X54" s="21" t="str">
        <x:f>IF(A54="","",AND(C54="real_user",J54="true",K54="true",L54="true",M54="true",B54&lt;&gt;"",F54&lt;&gt;"",U54=""))</x:f>
      </x:c>
      <x:c r="Y54" s="21" t="str">
        <x:f>IF(A54="","",COUNTIF($A$5:$A$104,A54)&gt;1)</x:f>
      </x:c>
      <x:c r="Z54" s="21" t="str">
        <x:f>IF(B54="","",COUNTIF('参与者'!$A$5:$A$24,B54)=1)</x:f>
      </x:c>
      <x:c r="AA54" s="21" t="str">
        <x:f>IF(N54="","",COUNTIFS('Hook反馈'!$A$5:$A$504,N54,'Hook反馈'!$B$5:$B$504,A54,'Hook反馈'!$E$5:$E$504,"true")=1)</x:f>
      </x:c>
    </x:row>
    <x:row r="55">
      <x:c r="A55" s="21"/>
      <x:c r="B55" s="21"/>
      <x:c r="C55" s="21"/>
      <x:c r="D55" s="60"/>
      <x:c r="E55" s="60"/>
      <x:c r="F55" s="21"/>
      <x:c r="G55" s="21"/>
      <x:c r="H55" s="21"/>
      <x:c r="I55" s="56"/>
      <x:c r="J55" s="21"/>
      <x:c r="K55" s="21"/>
      <x:c r="L55" s="21"/>
      <x:c r="M55" s="21"/>
      <x:c r="N55" s="21"/>
      <x:c r="O55" s="21"/>
      <x:c r="P55" s="21"/>
      <x:c r="Q55" s="56"/>
      <x:c r="R55" s="56"/>
      <x:c r="S55" s="21"/>
      <x:c r="T55" s="21"/>
      <x:c r="U55" s="21"/>
      <x:c r="V55" s="21"/>
      <x:c r="W55" s="62" t="str">
        <x:f>IF(OR(D55="",E55=""),"",MAX(0,(E55-D55)*1440))</x:f>
      </x:c>
      <x:c r="X55" s="21" t="str">
        <x:f>IF(A55="","",AND(C55="real_user",J55="true",K55="true",L55="true",M55="true",B55&lt;&gt;"",F55&lt;&gt;"",U55=""))</x:f>
      </x:c>
      <x:c r="Y55" s="21" t="str">
        <x:f>IF(A55="","",COUNTIF($A$5:$A$104,A55)&gt;1)</x:f>
      </x:c>
      <x:c r="Z55" s="21" t="str">
        <x:f>IF(B55="","",COUNTIF('参与者'!$A$5:$A$24,B55)=1)</x:f>
      </x:c>
      <x:c r="AA55" s="21" t="str">
        <x:f>IF(N55="","",COUNTIFS('Hook反馈'!$A$5:$A$504,N55,'Hook反馈'!$B$5:$B$504,A55,'Hook反馈'!$E$5:$E$504,"true")=1)</x:f>
      </x:c>
    </x:row>
    <x:row r="56">
      <x:c r="A56" s="21"/>
      <x:c r="B56" s="21"/>
      <x:c r="C56" s="21"/>
      <x:c r="D56" s="60"/>
      <x:c r="E56" s="60"/>
      <x:c r="F56" s="21"/>
      <x:c r="G56" s="21"/>
      <x:c r="H56" s="21"/>
      <x:c r="I56" s="56"/>
      <x:c r="J56" s="21"/>
      <x:c r="K56" s="21"/>
      <x:c r="L56" s="21"/>
      <x:c r="M56" s="21"/>
      <x:c r="N56" s="21"/>
      <x:c r="O56" s="21"/>
      <x:c r="P56" s="21"/>
      <x:c r="Q56" s="56"/>
      <x:c r="R56" s="56"/>
      <x:c r="S56" s="21"/>
      <x:c r="T56" s="21"/>
      <x:c r="U56" s="21"/>
      <x:c r="V56" s="21"/>
      <x:c r="W56" s="62" t="str">
        <x:f>IF(OR(D56="",E56=""),"",MAX(0,(E56-D56)*1440))</x:f>
      </x:c>
      <x:c r="X56" s="21" t="str">
        <x:f>IF(A56="","",AND(C56="real_user",J56="true",K56="true",L56="true",M56="true",B56&lt;&gt;"",F56&lt;&gt;"",U56=""))</x:f>
      </x:c>
      <x:c r="Y56" s="21" t="str">
        <x:f>IF(A56="","",COUNTIF($A$5:$A$104,A56)&gt;1)</x:f>
      </x:c>
      <x:c r="Z56" s="21" t="str">
        <x:f>IF(B56="","",COUNTIF('参与者'!$A$5:$A$24,B56)=1)</x:f>
      </x:c>
      <x:c r="AA56" s="21" t="str">
        <x:f>IF(N56="","",COUNTIFS('Hook反馈'!$A$5:$A$504,N56,'Hook反馈'!$B$5:$B$504,A56,'Hook反馈'!$E$5:$E$504,"true")=1)</x:f>
      </x:c>
    </x:row>
    <x:row r="57">
      <x:c r="A57" s="21"/>
      <x:c r="B57" s="21"/>
      <x:c r="C57" s="21"/>
      <x:c r="D57" s="60"/>
      <x:c r="E57" s="60"/>
      <x:c r="F57" s="21"/>
      <x:c r="G57" s="21"/>
      <x:c r="H57" s="21"/>
      <x:c r="I57" s="56"/>
      <x:c r="J57" s="21"/>
      <x:c r="K57" s="21"/>
      <x:c r="L57" s="21"/>
      <x:c r="M57" s="21"/>
      <x:c r="N57" s="21"/>
      <x:c r="O57" s="21"/>
      <x:c r="P57" s="21"/>
      <x:c r="Q57" s="56"/>
      <x:c r="R57" s="56"/>
      <x:c r="S57" s="21"/>
      <x:c r="T57" s="21"/>
      <x:c r="U57" s="21"/>
      <x:c r="V57" s="21"/>
      <x:c r="W57" s="62" t="str">
        <x:f>IF(OR(D57="",E57=""),"",MAX(0,(E57-D57)*1440))</x:f>
      </x:c>
      <x:c r="X57" s="21" t="str">
        <x:f>IF(A57="","",AND(C57="real_user",J57="true",K57="true",L57="true",M57="true",B57&lt;&gt;"",F57&lt;&gt;"",U57=""))</x:f>
      </x:c>
      <x:c r="Y57" s="21" t="str">
        <x:f>IF(A57="","",COUNTIF($A$5:$A$104,A57)&gt;1)</x:f>
      </x:c>
      <x:c r="Z57" s="21" t="str">
        <x:f>IF(B57="","",COUNTIF('参与者'!$A$5:$A$24,B57)=1)</x:f>
      </x:c>
      <x:c r="AA57" s="21" t="str">
        <x:f>IF(N57="","",COUNTIFS('Hook反馈'!$A$5:$A$504,N57,'Hook反馈'!$B$5:$B$504,A57,'Hook反馈'!$E$5:$E$504,"true")=1)</x:f>
      </x:c>
    </x:row>
    <x:row r="58">
      <x:c r="A58" s="21"/>
      <x:c r="B58" s="21"/>
      <x:c r="C58" s="21"/>
      <x:c r="D58" s="60"/>
      <x:c r="E58" s="60"/>
      <x:c r="F58" s="21"/>
      <x:c r="G58" s="21"/>
      <x:c r="H58" s="21"/>
      <x:c r="I58" s="56"/>
      <x:c r="J58" s="21"/>
      <x:c r="K58" s="21"/>
      <x:c r="L58" s="21"/>
      <x:c r="M58" s="21"/>
      <x:c r="N58" s="21"/>
      <x:c r="O58" s="21"/>
      <x:c r="P58" s="21"/>
      <x:c r="Q58" s="56"/>
      <x:c r="R58" s="56"/>
      <x:c r="S58" s="21"/>
      <x:c r="T58" s="21"/>
      <x:c r="U58" s="21"/>
      <x:c r="V58" s="21"/>
      <x:c r="W58" s="62" t="str">
        <x:f>IF(OR(D58="",E58=""),"",MAX(0,(E58-D58)*1440))</x:f>
      </x:c>
      <x:c r="X58" s="21" t="str">
        <x:f>IF(A58="","",AND(C58="real_user",J58="true",K58="true",L58="true",M58="true",B58&lt;&gt;"",F58&lt;&gt;"",U58=""))</x:f>
      </x:c>
      <x:c r="Y58" s="21" t="str">
        <x:f>IF(A58="","",COUNTIF($A$5:$A$104,A58)&gt;1)</x:f>
      </x:c>
      <x:c r="Z58" s="21" t="str">
        <x:f>IF(B58="","",COUNTIF('参与者'!$A$5:$A$24,B58)=1)</x:f>
      </x:c>
      <x:c r="AA58" s="21" t="str">
        <x:f>IF(N58="","",COUNTIFS('Hook反馈'!$A$5:$A$504,N58,'Hook反馈'!$B$5:$B$504,A58,'Hook反馈'!$E$5:$E$504,"true")=1)</x:f>
      </x:c>
    </x:row>
    <x:row r="59">
      <x:c r="A59" s="21"/>
      <x:c r="B59" s="21"/>
      <x:c r="C59" s="21"/>
      <x:c r="D59" s="60"/>
      <x:c r="E59" s="60"/>
      <x:c r="F59" s="21"/>
      <x:c r="G59" s="21"/>
      <x:c r="H59" s="21"/>
      <x:c r="I59" s="56"/>
      <x:c r="J59" s="21"/>
      <x:c r="K59" s="21"/>
      <x:c r="L59" s="21"/>
      <x:c r="M59" s="21"/>
      <x:c r="N59" s="21"/>
      <x:c r="O59" s="21"/>
      <x:c r="P59" s="21"/>
      <x:c r="Q59" s="56"/>
      <x:c r="R59" s="56"/>
      <x:c r="S59" s="21"/>
      <x:c r="T59" s="21"/>
      <x:c r="U59" s="21"/>
      <x:c r="V59" s="21"/>
      <x:c r="W59" s="62" t="str">
        <x:f>IF(OR(D59="",E59=""),"",MAX(0,(E59-D59)*1440))</x:f>
      </x:c>
      <x:c r="X59" s="21" t="str">
        <x:f>IF(A59="","",AND(C59="real_user",J59="true",K59="true",L59="true",M59="true",B59&lt;&gt;"",F59&lt;&gt;"",U59=""))</x:f>
      </x:c>
      <x:c r="Y59" s="21" t="str">
        <x:f>IF(A59="","",COUNTIF($A$5:$A$104,A59)&gt;1)</x:f>
      </x:c>
      <x:c r="Z59" s="21" t="str">
        <x:f>IF(B59="","",COUNTIF('参与者'!$A$5:$A$24,B59)=1)</x:f>
      </x:c>
      <x:c r="AA59" s="21" t="str">
        <x:f>IF(N59="","",COUNTIFS('Hook反馈'!$A$5:$A$504,N59,'Hook反馈'!$B$5:$B$504,A59,'Hook反馈'!$E$5:$E$504,"true")=1)</x:f>
      </x:c>
    </x:row>
    <x:row r="60">
      <x:c r="A60" s="21"/>
      <x:c r="B60" s="21"/>
      <x:c r="C60" s="21"/>
      <x:c r="D60" s="60"/>
      <x:c r="E60" s="60"/>
      <x:c r="F60" s="21"/>
      <x:c r="G60" s="21"/>
      <x:c r="H60" s="21"/>
      <x:c r="I60" s="56"/>
      <x:c r="J60" s="21"/>
      <x:c r="K60" s="21"/>
      <x:c r="L60" s="21"/>
      <x:c r="M60" s="21"/>
      <x:c r="N60" s="21"/>
      <x:c r="O60" s="21"/>
      <x:c r="P60" s="21"/>
      <x:c r="Q60" s="56"/>
      <x:c r="R60" s="56"/>
      <x:c r="S60" s="21"/>
      <x:c r="T60" s="21"/>
      <x:c r="U60" s="21"/>
      <x:c r="V60" s="21"/>
      <x:c r="W60" s="62" t="str">
        <x:f>IF(OR(D60="",E60=""),"",MAX(0,(E60-D60)*1440))</x:f>
      </x:c>
      <x:c r="X60" s="21" t="str">
        <x:f>IF(A60="","",AND(C60="real_user",J60="true",K60="true",L60="true",M60="true",B60&lt;&gt;"",F60&lt;&gt;"",U60=""))</x:f>
      </x:c>
      <x:c r="Y60" s="21" t="str">
        <x:f>IF(A60="","",COUNTIF($A$5:$A$104,A60)&gt;1)</x:f>
      </x:c>
      <x:c r="Z60" s="21" t="str">
        <x:f>IF(B60="","",COUNTIF('参与者'!$A$5:$A$24,B60)=1)</x:f>
      </x:c>
      <x:c r="AA60" s="21" t="str">
        <x:f>IF(N60="","",COUNTIFS('Hook反馈'!$A$5:$A$504,N60,'Hook反馈'!$B$5:$B$504,A60,'Hook反馈'!$E$5:$E$504,"true")=1)</x:f>
      </x:c>
    </x:row>
    <x:row r="61">
      <x:c r="A61" s="21"/>
      <x:c r="B61" s="21"/>
      <x:c r="C61" s="21"/>
      <x:c r="D61" s="60"/>
      <x:c r="E61" s="60"/>
      <x:c r="F61" s="21"/>
      <x:c r="G61" s="21"/>
      <x:c r="H61" s="21"/>
      <x:c r="I61" s="56"/>
      <x:c r="J61" s="21"/>
      <x:c r="K61" s="21"/>
      <x:c r="L61" s="21"/>
      <x:c r="M61" s="21"/>
      <x:c r="N61" s="21"/>
      <x:c r="O61" s="21"/>
      <x:c r="P61" s="21"/>
      <x:c r="Q61" s="56"/>
      <x:c r="R61" s="56"/>
      <x:c r="S61" s="21"/>
      <x:c r="T61" s="21"/>
      <x:c r="U61" s="21"/>
      <x:c r="V61" s="21"/>
      <x:c r="W61" s="62" t="str">
        <x:f>IF(OR(D61="",E61=""),"",MAX(0,(E61-D61)*1440))</x:f>
      </x:c>
      <x:c r="X61" s="21" t="str">
        <x:f>IF(A61="","",AND(C61="real_user",J61="true",K61="true",L61="true",M61="true",B61&lt;&gt;"",F61&lt;&gt;"",U61=""))</x:f>
      </x:c>
      <x:c r="Y61" s="21" t="str">
        <x:f>IF(A61="","",COUNTIF($A$5:$A$104,A61)&gt;1)</x:f>
      </x:c>
      <x:c r="Z61" s="21" t="str">
        <x:f>IF(B61="","",COUNTIF('参与者'!$A$5:$A$24,B61)=1)</x:f>
      </x:c>
      <x:c r="AA61" s="21" t="str">
        <x:f>IF(N61="","",COUNTIFS('Hook反馈'!$A$5:$A$504,N61,'Hook反馈'!$B$5:$B$504,A61,'Hook反馈'!$E$5:$E$504,"true")=1)</x:f>
      </x:c>
    </x:row>
    <x:row r="62">
      <x:c r="A62" s="21"/>
      <x:c r="B62" s="21"/>
      <x:c r="C62" s="21"/>
      <x:c r="D62" s="60"/>
      <x:c r="E62" s="60"/>
      <x:c r="F62" s="21"/>
      <x:c r="G62" s="21"/>
      <x:c r="H62" s="21"/>
      <x:c r="I62" s="56"/>
      <x:c r="J62" s="21"/>
      <x:c r="K62" s="21"/>
      <x:c r="L62" s="21"/>
      <x:c r="M62" s="21"/>
      <x:c r="N62" s="21"/>
      <x:c r="O62" s="21"/>
      <x:c r="P62" s="21"/>
      <x:c r="Q62" s="56"/>
      <x:c r="R62" s="56"/>
      <x:c r="S62" s="21"/>
      <x:c r="T62" s="21"/>
      <x:c r="U62" s="21"/>
      <x:c r="V62" s="21"/>
      <x:c r="W62" s="62" t="str">
        <x:f>IF(OR(D62="",E62=""),"",MAX(0,(E62-D62)*1440))</x:f>
      </x:c>
      <x:c r="X62" s="21" t="str">
        <x:f>IF(A62="","",AND(C62="real_user",J62="true",K62="true",L62="true",M62="true",B62&lt;&gt;"",F62&lt;&gt;"",U62=""))</x:f>
      </x:c>
      <x:c r="Y62" s="21" t="str">
        <x:f>IF(A62="","",COUNTIF($A$5:$A$104,A62)&gt;1)</x:f>
      </x:c>
      <x:c r="Z62" s="21" t="str">
        <x:f>IF(B62="","",COUNTIF('参与者'!$A$5:$A$24,B62)=1)</x:f>
      </x:c>
      <x:c r="AA62" s="21" t="str">
        <x:f>IF(N62="","",COUNTIFS('Hook反馈'!$A$5:$A$504,N62,'Hook反馈'!$B$5:$B$504,A62,'Hook反馈'!$E$5:$E$504,"true")=1)</x:f>
      </x:c>
    </x:row>
    <x:row r="63">
      <x:c r="A63" s="21"/>
      <x:c r="B63" s="21"/>
      <x:c r="C63" s="21"/>
      <x:c r="D63" s="60"/>
      <x:c r="E63" s="60"/>
      <x:c r="F63" s="21"/>
      <x:c r="G63" s="21"/>
      <x:c r="H63" s="21"/>
      <x:c r="I63" s="56"/>
      <x:c r="J63" s="21"/>
      <x:c r="K63" s="21"/>
      <x:c r="L63" s="21"/>
      <x:c r="M63" s="21"/>
      <x:c r="N63" s="21"/>
      <x:c r="O63" s="21"/>
      <x:c r="P63" s="21"/>
      <x:c r="Q63" s="56"/>
      <x:c r="R63" s="56"/>
      <x:c r="S63" s="21"/>
      <x:c r="T63" s="21"/>
      <x:c r="U63" s="21"/>
      <x:c r="V63" s="21"/>
      <x:c r="W63" s="62" t="str">
        <x:f>IF(OR(D63="",E63=""),"",MAX(0,(E63-D63)*1440))</x:f>
      </x:c>
      <x:c r="X63" s="21" t="str">
        <x:f>IF(A63="","",AND(C63="real_user",J63="true",K63="true",L63="true",M63="true",B63&lt;&gt;"",F63&lt;&gt;"",U63=""))</x:f>
      </x:c>
      <x:c r="Y63" s="21" t="str">
        <x:f>IF(A63="","",COUNTIF($A$5:$A$104,A63)&gt;1)</x:f>
      </x:c>
      <x:c r="Z63" s="21" t="str">
        <x:f>IF(B63="","",COUNTIF('参与者'!$A$5:$A$24,B63)=1)</x:f>
      </x:c>
      <x:c r="AA63" s="21" t="str">
        <x:f>IF(N63="","",COUNTIFS('Hook反馈'!$A$5:$A$504,N63,'Hook反馈'!$B$5:$B$504,A63,'Hook反馈'!$E$5:$E$504,"true")=1)</x:f>
      </x:c>
    </x:row>
    <x:row r="64">
      <x:c r="A64" s="21"/>
      <x:c r="B64" s="21"/>
      <x:c r="C64" s="21"/>
      <x:c r="D64" s="60"/>
      <x:c r="E64" s="60"/>
      <x:c r="F64" s="21"/>
      <x:c r="G64" s="21"/>
      <x:c r="H64" s="21"/>
      <x:c r="I64" s="56"/>
      <x:c r="J64" s="21"/>
      <x:c r="K64" s="21"/>
      <x:c r="L64" s="21"/>
      <x:c r="M64" s="21"/>
      <x:c r="N64" s="21"/>
      <x:c r="O64" s="21"/>
      <x:c r="P64" s="21"/>
      <x:c r="Q64" s="56"/>
      <x:c r="R64" s="56"/>
      <x:c r="S64" s="21"/>
      <x:c r="T64" s="21"/>
      <x:c r="U64" s="21"/>
      <x:c r="V64" s="21"/>
      <x:c r="W64" s="62" t="str">
        <x:f>IF(OR(D64="",E64=""),"",MAX(0,(E64-D64)*1440))</x:f>
      </x:c>
      <x:c r="X64" s="21" t="str">
        <x:f>IF(A64="","",AND(C64="real_user",J64="true",K64="true",L64="true",M64="true",B64&lt;&gt;"",F64&lt;&gt;"",U64=""))</x:f>
      </x:c>
      <x:c r="Y64" s="21" t="str">
        <x:f>IF(A64="","",COUNTIF($A$5:$A$104,A64)&gt;1)</x:f>
      </x:c>
      <x:c r="Z64" s="21" t="str">
        <x:f>IF(B64="","",COUNTIF('参与者'!$A$5:$A$24,B64)=1)</x:f>
      </x:c>
      <x:c r="AA64" s="21" t="str">
        <x:f>IF(N64="","",COUNTIFS('Hook反馈'!$A$5:$A$504,N64,'Hook反馈'!$B$5:$B$504,A64,'Hook反馈'!$E$5:$E$504,"true")=1)</x:f>
      </x:c>
    </x:row>
    <x:row r="65">
      <x:c r="A65" s="21"/>
      <x:c r="B65" s="21"/>
      <x:c r="C65" s="21"/>
      <x:c r="D65" s="60"/>
      <x:c r="E65" s="60"/>
      <x:c r="F65" s="21"/>
      <x:c r="G65" s="21"/>
      <x:c r="H65" s="21"/>
      <x:c r="I65" s="56"/>
      <x:c r="J65" s="21"/>
      <x:c r="K65" s="21"/>
      <x:c r="L65" s="21"/>
      <x:c r="M65" s="21"/>
      <x:c r="N65" s="21"/>
      <x:c r="O65" s="21"/>
      <x:c r="P65" s="21"/>
      <x:c r="Q65" s="56"/>
      <x:c r="R65" s="56"/>
      <x:c r="S65" s="21"/>
      <x:c r="T65" s="21"/>
      <x:c r="U65" s="21"/>
      <x:c r="V65" s="21"/>
      <x:c r="W65" s="62" t="str">
        <x:f>IF(OR(D65="",E65=""),"",MAX(0,(E65-D65)*1440))</x:f>
      </x:c>
      <x:c r="X65" s="21" t="str">
        <x:f>IF(A65="","",AND(C65="real_user",J65="true",K65="true",L65="true",M65="true",B65&lt;&gt;"",F65&lt;&gt;"",U65=""))</x:f>
      </x:c>
      <x:c r="Y65" s="21" t="str">
        <x:f>IF(A65="","",COUNTIF($A$5:$A$104,A65)&gt;1)</x:f>
      </x:c>
      <x:c r="Z65" s="21" t="str">
        <x:f>IF(B65="","",COUNTIF('参与者'!$A$5:$A$24,B65)=1)</x:f>
      </x:c>
      <x:c r="AA65" s="21" t="str">
        <x:f>IF(N65="","",COUNTIFS('Hook反馈'!$A$5:$A$504,N65,'Hook反馈'!$B$5:$B$504,A65,'Hook反馈'!$E$5:$E$504,"true")=1)</x:f>
      </x:c>
    </x:row>
    <x:row r="66">
      <x:c r="A66" s="21"/>
      <x:c r="B66" s="21"/>
      <x:c r="C66" s="21"/>
      <x:c r="D66" s="60"/>
      <x:c r="E66" s="60"/>
      <x:c r="F66" s="21"/>
      <x:c r="G66" s="21"/>
      <x:c r="H66" s="21"/>
      <x:c r="I66" s="56"/>
      <x:c r="J66" s="21"/>
      <x:c r="K66" s="21"/>
      <x:c r="L66" s="21"/>
      <x:c r="M66" s="21"/>
      <x:c r="N66" s="21"/>
      <x:c r="O66" s="21"/>
      <x:c r="P66" s="21"/>
      <x:c r="Q66" s="56"/>
      <x:c r="R66" s="56"/>
      <x:c r="S66" s="21"/>
      <x:c r="T66" s="21"/>
      <x:c r="U66" s="21"/>
      <x:c r="V66" s="21"/>
      <x:c r="W66" s="62" t="str">
        <x:f>IF(OR(D66="",E66=""),"",MAX(0,(E66-D66)*1440))</x:f>
      </x:c>
      <x:c r="X66" s="21" t="str">
        <x:f>IF(A66="","",AND(C66="real_user",J66="true",K66="true",L66="true",M66="true",B66&lt;&gt;"",F66&lt;&gt;"",U66=""))</x:f>
      </x:c>
      <x:c r="Y66" s="21" t="str">
        <x:f>IF(A66="","",COUNTIF($A$5:$A$104,A66)&gt;1)</x:f>
      </x:c>
      <x:c r="Z66" s="21" t="str">
        <x:f>IF(B66="","",COUNTIF('参与者'!$A$5:$A$24,B66)=1)</x:f>
      </x:c>
      <x:c r="AA66" s="21" t="str">
        <x:f>IF(N66="","",COUNTIFS('Hook反馈'!$A$5:$A$504,N66,'Hook反馈'!$B$5:$B$504,A66,'Hook反馈'!$E$5:$E$504,"true")=1)</x:f>
      </x:c>
    </x:row>
    <x:row r="67">
      <x:c r="A67" s="21"/>
      <x:c r="B67" s="21"/>
      <x:c r="C67" s="21"/>
      <x:c r="D67" s="60"/>
      <x:c r="E67" s="60"/>
      <x:c r="F67" s="21"/>
      <x:c r="G67" s="21"/>
      <x:c r="H67" s="21"/>
      <x:c r="I67" s="56"/>
      <x:c r="J67" s="21"/>
      <x:c r="K67" s="21"/>
      <x:c r="L67" s="21"/>
      <x:c r="M67" s="21"/>
      <x:c r="N67" s="21"/>
      <x:c r="O67" s="21"/>
      <x:c r="P67" s="21"/>
      <x:c r="Q67" s="56"/>
      <x:c r="R67" s="56"/>
      <x:c r="S67" s="21"/>
      <x:c r="T67" s="21"/>
      <x:c r="U67" s="21"/>
      <x:c r="V67" s="21"/>
      <x:c r="W67" s="62" t="str">
        <x:f>IF(OR(D67="",E67=""),"",MAX(0,(E67-D67)*1440))</x:f>
      </x:c>
      <x:c r="X67" s="21" t="str">
        <x:f>IF(A67="","",AND(C67="real_user",J67="true",K67="true",L67="true",M67="true",B67&lt;&gt;"",F67&lt;&gt;"",U67=""))</x:f>
      </x:c>
      <x:c r="Y67" s="21" t="str">
        <x:f>IF(A67="","",COUNTIF($A$5:$A$104,A67)&gt;1)</x:f>
      </x:c>
      <x:c r="Z67" s="21" t="str">
        <x:f>IF(B67="","",COUNTIF('参与者'!$A$5:$A$24,B67)=1)</x:f>
      </x:c>
      <x:c r="AA67" s="21" t="str">
        <x:f>IF(N67="","",COUNTIFS('Hook反馈'!$A$5:$A$504,N67,'Hook反馈'!$B$5:$B$504,A67,'Hook反馈'!$E$5:$E$504,"true")=1)</x:f>
      </x:c>
    </x:row>
    <x:row r="68">
      <x:c r="A68" s="21"/>
      <x:c r="B68" s="21"/>
      <x:c r="C68" s="21"/>
      <x:c r="D68" s="60"/>
      <x:c r="E68" s="60"/>
      <x:c r="F68" s="21"/>
      <x:c r="G68" s="21"/>
      <x:c r="H68" s="21"/>
      <x:c r="I68" s="56"/>
      <x:c r="J68" s="21"/>
      <x:c r="K68" s="21"/>
      <x:c r="L68" s="21"/>
      <x:c r="M68" s="21"/>
      <x:c r="N68" s="21"/>
      <x:c r="O68" s="21"/>
      <x:c r="P68" s="21"/>
      <x:c r="Q68" s="56"/>
      <x:c r="R68" s="56"/>
      <x:c r="S68" s="21"/>
      <x:c r="T68" s="21"/>
      <x:c r="U68" s="21"/>
      <x:c r="V68" s="21"/>
      <x:c r="W68" s="62" t="str">
        <x:f>IF(OR(D68="",E68=""),"",MAX(0,(E68-D68)*1440))</x:f>
      </x:c>
      <x:c r="X68" s="21" t="str">
        <x:f>IF(A68="","",AND(C68="real_user",J68="true",K68="true",L68="true",M68="true",B68&lt;&gt;"",F68&lt;&gt;"",U68=""))</x:f>
      </x:c>
      <x:c r="Y68" s="21" t="str">
        <x:f>IF(A68="","",COUNTIF($A$5:$A$104,A68)&gt;1)</x:f>
      </x:c>
      <x:c r="Z68" s="21" t="str">
        <x:f>IF(B68="","",COUNTIF('参与者'!$A$5:$A$24,B68)=1)</x:f>
      </x:c>
      <x:c r="AA68" s="21" t="str">
        <x:f>IF(N68="","",COUNTIFS('Hook反馈'!$A$5:$A$504,N68,'Hook反馈'!$B$5:$B$504,A68,'Hook反馈'!$E$5:$E$504,"true")=1)</x:f>
      </x:c>
    </x:row>
    <x:row r="69">
      <x:c r="A69" s="21"/>
      <x:c r="B69" s="21"/>
      <x:c r="C69" s="21"/>
      <x:c r="D69" s="60"/>
      <x:c r="E69" s="60"/>
      <x:c r="F69" s="21"/>
      <x:c r="G69" s="21"/>
      <x:c r="H69" s="21"/>
      <x:c r="I69" s="56"/>
      <x:c r="J69" s="21"/>
      <x:c r="K69" s="21"/>
      <x:c r="L69" s="21"/>
      <x:c r="M69" s="21"/>
      <x:c r="N69" s="21"/>
      <x:c r="O69" s="21"/>
      <x:c r="P69" s="21"/>
      <x:c r="Q69" s="56"/>
      <x:c r="R69" s="56"/>
      <x:c r="S69" s="21"/>
      <x:c r="T69" s="21"/>
      <x:c r="U69" s="21"/>
      <x:c r="V69" s="21"/>
      <x:c r="W69" s="62" t="str">
        <x:f>IF(OR(D69="",E69=""),"",MAX(0,(E69-D69)*1440))</x:f>
      </x:c>
      <x:c r="X69" s="21" t="str">
        <x:f>IF(A69="","",AND(C69="real_user",J69="true",K69="true",L69="true",M69="true",B69&lt;&gt;"",F69&lt;&gt;"",U69=""))</x:f>
      </x:c>
      <x:c r="Y69" s="21" t="str">
        <x:f>IF(A69="","",COUNTIF($A$5:$A$104,A69)&gt;1)</x:f>
      </x:c>
      <x:c r="Z69" s="21" t="str">
        <x:f>IF(B69="","",COUNTIF('参与者'!$A$5:$A$24,B69)=1)</x:f>
      </x:c>
      <x:c r="AA69" s="21" t="str">
        <x:f>IF(N69="","",COUNTIFS('Hook反馈'!$A$5:$A$504,N69,'Hook反馈'!$B$5:$B$504,A69,'Hook反馈'!$E$5:$E$504,"true")=1)</x:f>
      </x:c>
    </x:row>
    <x:row r="70">
      <x:c r="A70" s="21"/>
      <x:c r="B70" s="21"/>
      <x:c r="C70" s="21"/>
      <x:c r="D70" s="60"/>
      <x:c r="E70" s="60"/>
      <x:c r="F70" s="21"/>
      <x:c r="G70" s="21"/>
      <x:c r="H70" s="21"/>
      <x:c r="I70" s="56"/>
      <x:c r="J70" s="21"/>
      <x:c r="K70" s="21"/>
      <x:c r="L70" s="21"/>
      <x:c r="M70" s="21"/>
      <x:c r="N70" s="21"/>
      <x:c r="O70" s="21"/>
      <x:c r="P70" s="21"/>
      <x:c r="Q70" s="56"/>
      <x:c r="R70" s="56"/>
      <x:c r="S70" s="21"/>
      <x:c r="T70" s="21"/>
      <x:c r="U70" s="21"/>
      <x:c r="V70" s="21"/>
      <x:c r="W70" s="62" t="str">
        <x:f>IF(OR(D70="",E70=""),"",MAX(0,(E70-D70)*1440))</x:f>
      </x:c>
      <x:c r="X70" s="21" t="str">
        <x:f>IF(A70="","",AND(C70="real_user",J70="true",K70="true",L70="true",M70="true",B70&lt;&gt;"",F70&lt;&gt;"",U70=""))</x:f>
      </x:c>
      <x:c r="Y70" s="21" t="str">
        <x:f>IF(A70="","",COUNTIF($A$5:$A$104,A70)&gt;1)</x:f>
      </x:c>
      <x:c r="Z70" s="21" t="str">
        <x:f>IF(B70="","",COUNTIF('参与者'!$A$5:$A$24,B70)=1)</x:f>
      </x:c>
      <x:c r="AA70" s="21" t="str">
        <x:f>IF(N70="","",COUNTIFS('Hook反馈'!$A$5:$A$504,N70,'Hook反馈'!$B$5:$B$504,A70,'Hook反馈'!$E$5:$E$504,"true")=1)</x:f>
      </x:c>
    </x:row>
    <x:row r="71">
      <x:c r="A71" s="21"/>
      <x:c r="B71" s="21"/>
      <x:c r="C71" s="21"/>
      <x:c r="D71" s="60"/>
      <x:c r="E71" s="60"/>
      <x:c r="F71" s="21"/>
      <x:c r="G71" s="21"/>
      <x:c r="H71" s="21"/>
      <x:c r="I71" s="56"/>
      <x:c r="J71" s="21"/>
      <x:c r="K71" s="21"/>
      <x:c r="L71" s="21"/>
      <x:c r="M71" s="21"/>
      <x:c r="N71" s="21"/>
      <x:c r="O71" s="21"/>
      <x:c r="P71" s="21"/>
      <x:c r="Q71" s="56"/>
      <x:c r="R71" s="56"/>
      <x:c r="S71" s="21"/>
      <x:c r="T71" s="21"/>
      <x:c r="U71" s="21"/>
      <x:c r="V71" s="21"/>
      <x:c r="W71" s="62" t="str">
        <x:f>IF(OR(D71="",E71=""),"",MAX(0,(E71-D71)*1440))</x:f>
      </x:c>
      <x:c r="X71" s="21" t="str">
        <x:f>IF(A71="","",AND(C71="real_user",J71="true",K71="true",L71="true",M71="true",B71&lt;&gt;"",F71&lt;&gt;"",U71=""))</x:f>
      </x:c>
      <x:c r="Y71" s="21" t="str">
        <x:f>IF(A71="","",COUNTIF($A$5:$A$104,A71)&gt;1)</x:f>
      </x:c>
      <x:c r="Z71" s="21" t="str">
        <x:f>IF(B71="","",COUNTIF('参与者'!$A$5:$A$24,B71)=1)</x:f>
      </x:c>
      <x:c r="AA71" s="21" t="str">
        <x:f>IF(N71="","",COUNTIFS('Hook反馈'!$A$5:$A$504,N71,'Hook反馈'!$B$5:$B$504,A71,'Hook反馈'!$E$5:$E$504,"true")=1)</x:f>
      </x:c>
    </x:row>
    <x:row r="72">
      <x:c r="A72" s="21"/>
      <x:c r="B72" s="21"/>
      <x:c r="C72" s="21"/>
      <x:c r="D72" s="60"/>
      <x:c r="E72" s="60"/>
      <x:c r="F72" s="21"/>
      <x:c r="G72" s="21"/>
      <x:c r="H72" s="21"/>
      <x:c r="I72" s="56"/>
      <x:c r="J72" s="21"/>
      <x:c r="K72" s="21"/>
      <x:c r="L72" s="21"/>
      <x:c r="M72" s="21"/>
      <x:c r="N72" s="21"/>
      <x:c r="O72" s="21"/>
      <x:c r="P72" s="21"/>
      <x:c r="Q72" s="56"/>
      <x:c r="R72" s="56"/>
      <x:c r="S72" s="21"/>
      <x:c r="T72" s="21"/>
      <x:c r="U72" s="21"/>
      <x:c r="V72" s="21"/>
      <x:c r="W72" s="62" t="str">
        <x:f>IF(OR(D72="",E72=""),"",MAX(0,(E72-D72)*1440))</x:f>
      </x:c>
      <x:c r="X72" s="21" t="str">
        <x:f>IF(A72="","",AND(C72="real_user",J72="true",K72="true",L72="true",M72="true",B72&lt;&gt;"",F72&lt;&gt;"",U72=""))</x:f>
      </x:c>
      <x:c r="Y72" s="21" t="str">
        <x:f>IF(A72="","",COUNTIF($A$5:$A$104,A72)&gt;1)</x:f>
      </x:c>
      <x:c r="Z72" s="21" t="str">
        <x:f>IF(B72="","",COUNTIF('参与者'!$A$5:$A$24,B72)=1)</x:f>
      </x:c>
      <x:c r="AA72" s="21" t="str">
        <x:f>IF(N72="","",COUNTIFS('Hook反馈'!$A$5:$A$504,N72,'Hook反馈'!$B$5:$B$504,A72,'Hook反馈'!$E$5:$E$504,"true")=1)</x:f>
      </x:c>
    </x:row>
    <x:row r="73">
      <x:c r="A73" s="21"/>
      <x:c r="B73" s="21"/>
      <x:c r="C73" s="21"/>
      <x:c r="D73" s="60"/>
      <x:c r="E73" s="60"/>
      <x:c r="F73" s="21"/>
      <x:c r="G73" s="21"/>
      <x:c r="H73" s="21"/>
      <x:c r="I73" s="56"/>
      <x:c r="J73" s="21"/>
      <x:c r="K73" s="21"/>
      <x:c r="L73" s="21"/>
      <x:c r="M73" s="21"/>
      <x:c r="N73" s="21"/>
      <x:c r="O73" s="21"/>
      <x:c r="P73" s="21"/>
      <x:c r="Q73" s="56"/>
      <x:c r="R73" s="56"/>
      <x:c r="S73" s="21"/>
      <x:c r="T73" s="21"/>
      <x:c r="U73" s="21"/>
      <x:c r="V73" s="21"/>
      <x:c r="W73" s="62" t="str">
        <x:f>IF(OR(D73="",E73=""),"",MAX(0,(E73-D73)*1440))</x:f>
      </x:c>
      <x:c r="X73" s="21" t="str">
        <x:f>IF(A73="","",AND(C73="real_user",J73="true",K73="true",L73="true",M73="true",B73&lt;&gt;"",F73&lt;&gt;"",U73=""))</x:f>
      </x:c>
      <x:c r="Y73" s="21" t="str">
        <x:f>IF(A73="","",COUNTIF($A$5:$A$104,A73)&gt;1)</x:f>
      </x:c>
      <x:c r="Z73" s="21" t="str">
        <x:f>IF(B73="","",COUNTIF('参与者'!$A$5:$A$24,B73)=1)</x:f>
      </x:c>
      <x:c r="AA73" s="21" t="str">
        <x:f>IF(N73="","",COUNTIFS('Hook反馈'!$A$5:$A$504,N73,'Hook反馈'!$B$5:$B$504,A73,'Hook反馈'!$E$5:$E$504,"true")=1)</x:f>
      </x:c>
    </x:row>
    <x:row r="74">
      <x:c r="A74" s="21"/>
      <x:c r="B74" s="21"/>
      <x:c r="C74" s="21"/>
      <x:c r="D74" s="60"/>
      <x:c r="E74" s="60"/>
      <x:c r="F74" s="21"/>
      <x:c r="G74" s="21"/>
      <x:c r="H74" s="21"/>
      <x:c r="I74" s="56"/>
      <x:c r="J74" s="21"/>
      <x:c r="K74" s="21"/>
      <x:c r="L74" s="21"/>
      <x:c r="M74" s="21"/>
      <x:c r="N74" s="21"/>
      <x:c r="O74" s="21"/>
      <x:c r="P74" s="21"/>
      <x:c r="Q74" s="56"/>
      <x:c r="R74" s="56"/>
      <x:c r="S74" s="21"/>
      <x:c r="T74" s="21"/>
      <x:c r="U74" s="21"/>
      <x:c r="V74" s="21"/>
      <x:c r="W74" s="62" t="str">
        <x:f>IF(OR(D74="",E74=""),"",MAX(0,(E74-D74)*1440))</x:f>
      </x:c>
      <x:c r="X74" s="21" t="str">
        <x:f>IF(A74="","",AND(C74="real_user",J74="true",K74="true",L74="true",M74="true",B74&lt;&gt;"",F74&lt;&gt;"",U74=""))</x:f>
      </x:c>
      <x:c r="Y74" s="21" t="str">
        <x:f>IF(A74="","",COUNTIF($A$5:$A$104,A74)&gt;1)</x:f>
      </x:c>
      <x:c r="Z74" s="21" t="str">
        <x:f>IF(B74="","",COUNTIF('参与者'!$A$5:$A$24,B74)=1)</x:f>
      </x:c>
      <x:c r="AA74" s="21" t="str">
        <x:f>IF(N74="","",COUNTIFS('Hook反馈'!$A$5:$A$504,N74,'Hook反馈'!$B$5:$B$504,A74,'Hook反馈'!$E$5:$E$504,"true")=1)</x:f>
      </x:c>
    </x:row>
    <x:row r="75">
      <x:c r="A75" s="21"/>
      <x:c r="B75" s="21"/>
      <x:c r="C75" s="21"/>
      <x:c r="D75" s="60"/>
      <x:c r="E75" s="60"/>
      <x:c r="F75" s="21"/>
      <x:c r="G75" s="21"/>
      <x:c r="H75" s="21"/>
      <x:c r="I75" s="56"/>
      <x:c r="J75" s="21"/>
      <x:c r="K75" s="21"/>
      <x:c r="L75" s="21"/>
      <x:c r="M75" s="21"/>
      <x:c r="N75" s="21"/>
      <x:c r="O75" s="21"/>
      <x:c r="P75" s="21"/>
      <x:c r="Q75" s="56"/>
      <x:c r="R75" s="56"/>
      <x:c r="S75" s="21"/>
      <x:c r="T75" s="21"/>
      <x:c r="U75" s="21"/>
      <x:c r="V75" s="21"/>
      <x:c r="W75" s="62" t="str">
        <x:f>IF(OR(D75="",E75=""),"",MAX(0,(E75-D75)*1440))</x:f>
      </x:c>
      <x:c r="X75" s="21" t="str">
        <x:f>IF(A75="","",AND(C75="real_user",J75="true",K75="true",L75="true",M75="true",B75&lt;&gt;"",F75&lt;&gt;"",U75=""))</x:f>
      </x:c>
      <x:c r="Y75" s="21" t="str">
        <x:f>IF(A75="","",COUNTIF($A$5:$A$104,A75)&gt;1)</x:f>
      </x:c>
      <x:c r="Z75" s="21" t="str">
        <x:f>IF(B75="","",COUNTIF('参与者'!$A$5:$A$24,B75)=1)</x:f>
      </x:c>
      <x:c r="AA75" s="21" t="str">
        <x:f>IF(N75="","",COUNTIFS('Hook反馈'!$A$5:$A$504,N75,'Hook反馈'!$B$5:$B$504,A75,'Hook反馈'!$E$5:$E$504,"true")=1)</x:f>
      </x:c>
    </x:row>
    <x:row r="76">
      <x:c r="A76" s="21"/>
      <x:c r="B76" s="21"/>
      <x:c r="C76" s="21"/>
      <x:c r="D76" s="60"/>
      <x:c r="E76" s="60"/>
      <x:c r="F76" s="21"/>
      <x:c r="G76" s="21"/>
      <x:c r="H76" s="21"/>
      <x:c r="I76" s="56"/>
      <x:c r="J76" s="21"/>
      <x:c r="K76" s="21"/>
      <x:c r="L76" s="21"/>
      <x:c r="M76" s="21"/>
      <x:c r="N76" s="21"/>
      <x:c r="O76" s="21"/>
      <x:c r="P76" s="21"/>
      <x:c r="Q76" s="56"/>
      <x:c r="R76" s="56"/>
      <x:c r="S76" s="21"/>
      <x:c r="T76" s="21"/>
      <x:c r="U76" s="21"/>
      <x:c r="V76" s="21"/>
      <x:c r="W76" s="62" t="str">
        <x:f>IF(OR(D76="",E76=""),"",MAX(0,(E76-D76)*1440))</x:f>
      </x:c>
      <x:c r="X76" s="21" t="str">
        <x:f>IF(A76="","",AND(C76="real_user",J76="true",K76="true",L76="true",M76="true",B76&lt;&gt;"",F76&lt;&gt;"",U76=""))</x:f>
      </x:c>
      <x:c r="Y76" s="21" t="str">
        <x:f>IF(A76="","",COUNTIF($A$5:$A$104,A76)&gt;1)</x:f>
      </x:c>
      <x:c r="Z76" s="21" t="str">
        <x:f>IF(B76="","",COUNTIF('参与者'!$A$5:$A$24,B76)=1)</x:f>
      </x:c>
      <x:c r="AA76" s="21" t="str">
        <x:f>IF(N76="","",COUNTIFS('Hook反馈'!$A$5:$A$504,N76,'Hook反馈'!$B$5:$B$504,A76,'Hook反馈'!$E$5:$E$504,"true")=1)</x:f>
      </x:c>
    </x:row>
    <x:row r="77">
      <x:c r="A77" s="21"/>
      <x:c r="B77" s="21"/>
      <x:c r="C77" s="21"/>
      <x:c r="D77" s="60"/>
      <x:c r="E77" s="60"/>
      <x:c r="F77" s="21"/>
      <x:c r="G77" s="21"/>
      <x:c r="H77" s="21"/>
      <x:c r="I77" s="56"/>
      <x:c r="J77" s="21"/>
      <x:c r="K77" s="21"/>
      <x:c r="L77" s="21"/>
      <x:c r="M77" s="21"/>
      <x:c r="N77" s="21"/>
      <x:c r="O77" s="21"/>
      <x:c r="P77" s="21"/>
      <x:c r="Q77" s="56"/>
      <x:c r="R77" s="56"/>
      <x:c r="S77" s="21"/>
      <x:c r="T77" s="21"/>
      <x:c r="U77" s="21"/>
      <x:c r="V77" s="21"/>
      <x:c r="W77" s="62" t="str">
        <x:f>IF(OR(D77="",E77=""),"",MAX(0,(E77-D77)*1440))</x:f>
      </x:c>
      <x:c r="X77" s="21" t="str">
        <x:f>IF(A77="","",AND(C77="real_user",J77="true",K77="true",L77="true",M77="true",B77&lt;&gt;"",F77&lt;&gt;"",U77=""))</x:f>
      </x:c>
      <x:c r="Y77" s="21" t="str">
        <x:f>IF(A77="","",COUNTIF($A$5:$A$104,A77)&gt;1)</x:f>
      </x:c>
      <x:c r="Z77" s="21" t="str">
        <x:f>IF(B77="","",COUNTIF('参与者'!$A$5:$A$24,B77)=1)</x:f>
      </x:c>
      <x:c r="AA77" s="21" t="str">
        <x:f>IF(N77="","",COUNTIFS('Hook反馈'!$A$5:$A$504,N77,'Hook反馈'!$B$5:$B$504,A77,'Hook反馈'!$E$5:$E$504,"true")=1)</x:f>
      </x:c>
    </x:row>
    <x:row r="78">
      <x:c r="A78" s="21"/>
      <x:c r="B78" s="21"/>
      <x:c r="C78" s="21"/>
      <x:c r="D78" s="60"/>
      <x:c r="E78" s="60"/>
      <x:c r="F78" s="21"/>
      <x:c r="G78" s="21"/>
      <x:c r="H78" s="21"/>
      <x:c r="I78" s="56"/>
      <x:c r="J78" s="21"/>
      <x:c r="K78" s="21"/>
      <x:c r="L78" s="21"/>
      <x:c r="M78" s="21"/>
      <x:c r="N78" s="21"/>
      <x:c r="O78" s="21"/>
      <x:c r="P78" s="21"/>
      <x:c r="Q78" s="56"/>
      <x:c r="R78" s="56"/>
      <x:c r="S78" s="21"/>
      <x:c r="T78" s="21"/>
      <x:c r="U78" s="21"/>
      <x:c r="V78" s="21"/>
      <x:c r="W78" s="62" t="str">
        <x:f>IF(OR(D78="",E78=""),"",MAX(0,(E78-D78)*1440))</x:f>
      </x:c>
      <x:c r="X78" s="21" t="str">
        <x:f>IF(A78="","",AND(C78="real_user",J78="true",K78="true",L78="true",M78="true",B78&lt;&gt;"",F78&lt;&gt;"",U78=""))</x:f>
      </x:c>
      <x:c r="Y78" s="21" t="str">
        <x:f>IF(A78="","",COUNTIF($A$5:$A$104,A78)&gt;1)</x:f>
      </x:c>
      <x:c r="Z78" s="21" t="str">
        <x:f>IF(B78="","",COUNTIF('参与者'!$A$5:$A$24,B78)=1)</x:f>
      </x:c>
      <x:c r="AA78" s="21" t="str">
        <x:f>IF(N78="","",COUNTIFS('Hook反馈'!$A$5:$A$504,N78,'Hook反馈'!$B$5:$B$504,A78,'Hook反馈'!$E$5:$E$504,"true")=1)</x:f>
      </x:c>
    </x:row>
    <x:row r="79">
      <x:c r="A79" s="21"/>
      <x:c r="B79" s="21"/>
      <x:c r="C79" s="21"/>
      <x:c r="D79" s="60"/>
      <x:c r="E79" s="60"/>
      <x:c r="F79" s="21"/>
      <x:c r="G79" s="21"/>
      <x:c r="H79" s="21"/>
      <x:c r="I79" s="56"/>
      <x:c r="J79" s="21"/>
      <x:c r="K79" s="21"/>
      <x:c r="L79" s="21"/>
      <x:c r="M79" s="21"/>
      <x:c r="N79" s="21"/>
      <x:c r="O79" s="21"/>
      <x:c r="P79" s="21"/>
      <x:c r="Q79" s="56"/>
      <x:c r="R79" s="56"/>
      <x:c r="S79" s="21"/>
      <x:c r="T79" s="21"/>
      <x:c r="U79" s="21"/>
      <x:c r="V79" s="21"/>
      <x:c r="W79" s="62" t="str">
        <x:f>IF(OR(D79="",E79=""),"",MAX(0,(E79-D79)*1440))</x:f>
      </x:c>
      <x:c r="X79" s="21" t="str">
        <x:f>IF(A79="","",AND(C79="real_user",J79="true",K79="true",L79="true",M79="true",B79&lt;&gt;"",F79&lt;&gt;"",U79=""))</x:f>
      </x:c>
      <x:c r="Y79" s="21" t="str">
        <x:f>IF(A79="","",COUNTIF($A$5:$A$104,A79)&gt;1)</x:f>
      </x:c>
      <x:c r="Z79" s="21" t="str">
        <x:f>IF(B79="","",COUNTIF('参与者'!$A$5:$A$24,B79)=1)</x:f>
      </x:c>
      <x:c r="AA79" s="21" t="str">
        <x:f>IF(N79="","",COUNTIFS('Hook反馈'!$A$5:$A$504,N79,'Hook反馈'!$B$5:$B$504,A79,'Hook反馈'!$E$5:$E$504,"true")=1)</x:f>
      </x:c>
    </x:row>
    <x:row r="80">
      <x:c r="A80" s="21"/>
      <x:c r="B80" s="21"/>
      <x:c r="C80" s="21"/>
      <x:c r="D80" s="60"/>
      <x:c r="E80" s="60"/>
      <x:c r="F80" s="21"/>
      <x:c r="G80" s="21"/>
      <x:c r="H80" s="21"/>
      <x:c r="I80" s="56"/>
      <x:c r="J80" s="21"/>
      <x:c r="K80" s="21"/>
      <x:c r="L80" s="21"/>
      <x:c r="M80" s="21"/>
      <x:c r="N80" s="21"/>
      <x:c r="O80" s="21"/>
      <x:c r="P80" s="21"/>
      <x:c r="Q80" s="56"/>
      <x:c r="R80" s="56"/>
      <x:c r="S80" s="21"/>
      <x:c r="T80" s="21"/>
      <x:c r="U80" s="21"/>
      <x:c r="V80" s="21"/>
      <x:c r="W80" s="62" t="str">
        <x:f>IF(OR(D80="",E80=""),"",MAX(0,(E80-D80)*1440))</x:f>
      </x:c>
      <x:c r="X80" s="21" t="str">
        <x:f>IF(A80="","",AND(C80="real_user",J80="true",K80="true",L80="true",M80="true",B80&lt;&gt;"",F80&lt;&gt;"",U80=""))</x:f>
      </x:c>
      <x:c r="Y80" s="21" t="str">
        <x:f>IF(A80="","",COUNTIF($A$5:$A$104,A80)&gt;1)</x:f>
      </x:c>
      <x:c r="Z80" s="21" t="str">
        <x:f>IF(B80="","",COUNTIF('参与者'!$A$5:$A$24,B80)=1)</x:f>
      </x:c>
      <x:c r="AA80" s="21" t="str">
        <x:f>IF(N80="","",COUNTIFS('Hook反馈'!$A$5:$A$504,N80,'Hook反馈'!$B$5:$B$504,A80,'Hook反馈'!$E$5:$E$504,"true")=1)</x:f>
      </x:c>
    </x:row>
    <x:row r="81">
      <x:c r="A81" s="21"/>
      <x:c r="B81" s="21"/>
      <x:c r="C81" s="21"/>
      <x:c r="D81" s="60"/>
      <x:c r="E81" s="60"/>
      <x:c r="F81" s="21"/>
      <x:c r="G81" s="21"/>
      <x:c r="H81" s="21"/>
      <x:c r="I81" s="56"/>
      <x:c r="J81" s="21"/>
      <x:c r="K81" s="21"/>
      <x:c r="L81" s="21"/>
      <x:c r="M81" s="21"/>
      <x:c r="N81" s="21"/>
      <x:c r="O81" s="21"/>
      <x:c r="P81" s="21"/>
      <x:c r="Q81" s="56"/>
      <x:c r="R81" s="56"/>
      <x:c r="S81" s="21"/>
      <x:c r="T81" s="21"/>
      <x:c r="U81" s="21"/>
      <x:c r="V81" s="21"/>
      <x:c r="W81" s="62" t="str">
        <x:f>IF(OR(D81="",E81=""),"",MAX(0,(E81-D81)*1440))</x:f>
      </x:c>
      <x:c r="X81" s="21" t="str">
        <x:f>IF(A81="","",AND(C81="real_user",J81="true",K81="true",L81="true",M81="true",B81&lt;&gt;"",F81&lt;&gt;"",U81=""))</x:f>
      </x:c>
      <x:c r="Y81" s="21" t="str">
        <x:f>IF(A81="","",COUNTIF($A$5:$A$104,A81)&gt;1)</x:f>
      </x:c>
      <x:c r="Z81" s="21" t="str">
        <x:f>IF(B81="","",COUNTIF('参与者'!$A$5:$A$24,B81)=1)</x:f>
      </x:c>
      <x:c r="AA81" s="21" t="str">
        <x:f>IF(N81="","",COUNTIFS('Hook反馈'!$A$5:$A$504,N81,'Hook反馈'!$B$5:$B$504,A81,'Hook反馈'!$E$5:$E$504,"true")=1)</x:f>
      </x:c>
    </x:row>
    <x:row r="82">
      <x:c r="A82" s="21"/>
      <x:c r="B82" s="21"/>
      <x:c r="C82" s="21"/>
      <x:c r="D82" s="60"/>
      <x:c r="E82" s="60"/>
      <x:c r="F82" s="21"/>
      <x:c r="G82" s="21"/>
      <x:c r="H82" s="21"/>
      <x:c r="I82" s="56"/>
      <x:c r="J82" s="21"/>
      <x:c r="K82" s="21"/>
      <x:c r="L82" s="21"/>
      <x:c r="M82" s="21"/>
      <x:c r="N82" s="21"/>
      <x:c r="O82" s="21"/>
      <x:c r="P82" s="21"/>
      <x:c r="Q82" s="56"/>
      <x:c r="R82" s="56"/>
      <x:c r="S82" s="21"/>
      <x:c r="T82" s="21"/>
      <x:c r="U82" s="21"/>
      <x:c r="V82" s="21"/>
      <x:c r="W82" s="62" t="str">
        <x:f>IF(OR(D82="",E82=""),"",MAX(0,(E82-D82)*1440))</x:f>
      </x:c>
      <x:c r="X82" s="21" t="str">
        <x:f>IF(A82="","",AND(C82="real_user",J82="true",K82="true",L82="true",M82="true",B82&lt;&gt;"",F82&lt;&gt;"",U82=""))</x:f>
      </x:c>
      <x:c r="Y82" s="21" t="str">
        <x:f>IF(A82="","",COUNTIF($A$5:$A$104,A82)&gt;1)</x:f>
      </x:c>
      <x:c r="Z82" s="21" t="str">
        <x:f>IF(B82="","",COUNTIF('参与者'!$A$5:$A$24,B82)=1)</x:f>
      </x:c>
      <x:c r="AA82" s="21" t="str">
        <x:f>IF(N82="","",COUNTIFS('Hook反馈'!$A$5:$A$504,N82,'Hook反馈'!$B$5:$B$504,A82,'Hook反馈'!$E$5:$E$504,"true")=1)</x:f>
      </x:c>
    </x:row>
    <x:row r="83">
      <x:c r="A83" s="21"/>
      <x:c r="B83" s="21"/>
      <x:c r="C83" s="21"/>
      <x:c r="D83" s="60"/>
      <x:c r="E83" s="60"/>
      <x:c r="F83" s="21"/>
      <x:c r="G83" s="21"/>
      <x:c r="H83" s="21"/>
      <x:c r="I83" s="56"/>
      <x:c r="J83" s="21"/>
      <x:c r="K83" s="21"/>
      <x:c r="L83" s="21"/>
      <x:c r="M83" s="21"/>
      <x:c r="N83" s="21"/>
      <x:c r="O83" s="21"/>
      <x:c r="P83" s="21"/>
      <x:c r="Q83" s="56"/>
      <x:c r="R83" s="56"/>
      <x:c r="S83" s="21"/>
      <x:c r="T83" s="21"/>
      <x:c r="U83" s="21"/>
      <x:c r="V83" s="21"/>
      <x:c r="W83" s="62" t="str">
        <x:f>IF(OR(D83="",E83=""),"",MAX(0,(E83-D83)*1440))</x:f>
      </x:c>
      <x:c r="X83" s="21" t="str">
        <x:f>IF(A83="","",AND(C83="real_user",J83="true",K83="true",L83="true",M83="true",B83&lt;&gt;"",F83&lt;&gt;"",U83=""))</x:f>
      </x:c>
      <x:c r="Y83" s="21" t="str">
        <x:f>IF(A83="","",COUNTIF($A$5:$A$104,A83)&gt;1)</x:f>
      </x:c>
      <x:c r="Z83" s="21" t="str">
        <x:f>IF(B83="","",COUNTIF('参与者'!$A$5:$A$24,B83)=1)</x:f>
      </x:c>
      <x:c r="AA83" s="21" t="str">
        <x:f>IF(N83="","",COUNTIFS('Hook反馈'!$A$5:$A$504,N83,'Hook反馈'!$B$5:$B$504,A83,'Hook反馈'!$E$5:$E$504,"true")=1)</x:f>
      </x:c>
    </x:row>
    <x:row r="84">
      <x:c r="A84" s="21"/>
      <x:c r="B84" s="21"/>
      <x:c r="C84" s="21"/>
      <x:c r="D84" s="60"/>
      <x:c r="E84" s="60"/>
      <x:c r="F84" s="21"/>
      <x:c r="G84" s="21"/>
      <x:c r="H84" s="21"/>
      <x:c r="I84" s="56"/>
      <x:c r="J84" s="21"/>
      <x:c r="K84" s="21"/>
      <x:c r="L84" s="21"/>
      <x:c r="M84" s="21"/>
      <x:c r="N84" s="21"/>
      <x:c r="O84" s="21"/>
      <x:c r="P84" s="21"/>
      <x:c r="Q84" s="56"/>
      <x:c r="R84" s="56"/>
      <x:c r="S84" s="21"/>
      <x:c r="T84" s="21"/>
      <x:c r="U84" s="21"/>
      <x:c r="V84" s="21"/>
      <x:c r="W84" s="62" t="str">
        <x:f>IF(OR(D84="",E84=""),"",MAX(0,(E84-D84)*1440))</x:f>
      </x:c>
      <x:c r="X84" s="21" t="str">
        <x:f>IF(A84="","",AND(C84="real_user",J84="true",K84="true",L84="true",M84="true",B84&lt;&gt;"",F84&lt;&gt;"",U84=""))</x:f>
      </x:c>
      <x:c r="Y84" s="21" t="str">
        <x:f>IF(A84="","",COUNTIF($A$5:$A$104,A84)&gt;1)</x:f>
      </x:c>
      <x:c r="Z84" s="21" t="str">
        <x:f>IF(B84="","",COUNTIF('参与者'!$A$5:$A$24,B84)=1)</x:f>
      </x:c>
      <x:c r="AA84" s="21" t="str">
        <x:f>IF(N84="","",COUNTIFS('Hook反馈'!$A$5:$A$504,N84,'Hook反馈'!$B$5:$B$504,A84,'Hook反馈'!$E$5:$E$504,"true")=1)</x:f>
      </x:c>
    </x:row>
    <x:row r="85">
      <x:c r="A85" s="21"/>
      <x:c r="B85" s="21"/>
      <x:c r="C85" s="21"/>
      <x:c r="D85" s="60"/>
      <x:c r="E85" s="60"/>
      <x:c r="F85" s="21"/>
      <x:c r="G85" s="21"/>
      <x:c r="H85" s="21"/>
      <x:c r="I85" s="56"/>
      <x:c r="J85" s="21"/>
      <x:c r="K85" s="21"/>
      <x:c r="L85" s="21"/>
      <x:c r="M85" s="21"/>
      <x:c r="N85" s="21"/>
      <x:c r="O85" s="21"/>
      <x:c r="P85" s="21"/>
      <x:c r="Q85" s="56"/>
      <x:c r="R85" s="56"/>
      <x:c r="S85" s="21"/>
      <x:c r="T85" s="21"/>
      <x:c r="U85" s="21"/>
      <x:c r="V85" s="21"/>
      <x:c r="W85" s="62" t="str">
        <x:f>IF(OR(D85="",E85=""),"",MAX(0,(E85-D85)*1440))</x:f>
      </x:c>
      <x:c r="X85" s="21" t="str">
        <x:f>IF(A85="","",AND(C85="real_user",J85="true",K85="true",L85="true",M85="true",B85&lt;&gt;"",F85&lt;&gt;"",U85=""))</x:f>
      </x:c>
      <x:c r="Y85" s="21" t="str">
        <x:f>IF(A85="","",COUNTIF($A$5:$A$104,A85)&gt;1)</x:f>
      </x:c>
      <x:c r="Z85" s="21" t="str">
        <x:f>IF(B85="","",COUNTIF('参与者'!$A$5:$A$24,B85)=1)</x:f>
      </x:c>
      <x:c r="AA85" s="21" t="str">
        <x:f>IF(N85="","",COUNTIFS('Hook反馈'!$A$5:$A$504,N85,'Hook反馈'!$B$5:$B$504,A85,'Hook反馈'!$E$5:$E$504,"true")=1)</x:f>
      </x:c>
    </x:row>
    <x:row r="86">
      <x:c r="A86" s="21"/>
      <x:c r="B86" s="21"/>
      <x:c r="C86" s="21"/>
      <x:c r="D86" s="60"/>
      <x:c r="E86" s="60"/>
      <x:c r="F86" s="21"/>
      <x:c r="G86" s="21"/>
      <x:c r="H86" s="21"/>
      <x:c r="I86" s="56"/>
      <x:c r="J86" s="21"/>
      <x:c r="K86" s="21"/>
      <x:c r="L86" s="21"/>
      <x:c r="M86" s="21"/>
      <x:c r="N86" s="21"/>
      <x:c r="O86" s="21"/>
      <x:c r="P86" s="21"/>
      <x:c r="Q86" s="56"/>
      <x:c r="R86" s="56"/>
      <x:c r="S86" s="21"/>
      <x:c r="T86" s="21"/>
      <x:c r="U86" s="21"/>
      <x:c r="V86" s="21"/>
      <x:c r="W86" s="62" t="str">
        <x:f>IF(OR(D86="",E86=""),"",MAX(0,(E86-D86)*1440))</x:f>
      </x:c>
      <x:c r="X86" s="21" t="str">
        <x:f>IF(A86="","",AND(C86="real_user",J86="true",K86="true",L86="true",M86="true",B86&lt;&gt;"",F86&lt;&gt;"",U86=""))</x:f>
      </x:c>
      <x:c r="Y86" s="21" t="str">
        <x:f>IF(A86="","",COUNTIF($A$5:$A$104,A86)&gt;1)</x:f>
      </x:c>
      <x:c r="Z86" s="21" t="str">
        <x:f>IF(B86="","",COUNTIF('参与者'!$A$5:$A$24,B86)=1)</x:f>
      </x:c>
      <x:c r="AA86" s="21" t="str">
        <x:f>IF(N86="","",COUNTIFS('Hook反馈'!$A$5:$A$504,N86,'Hook反馈'!$B$5:$B$504,A86,'Hook反馈'!$E$5:$E$504,"true")=1)</x:f>
      </x:c>
    </x:row>
    <x:row r="87">
      <x:c r="A87" s="21"/>
      <x:c r="B87" s="21"/>
      <x:c r="C87" s="21"/>
      <x:c r="D87" s="60"/>
      <x:c r="E87" s="60"/>
      <x:c r="F87" s="21"/>
      <x:c r="G87" s="21"/>
      <x:c r="H87" s="21"/>
      <x:c r="I87" s="56"/>
      <x:c r="J87" s="21"/>
      <x:c r="K87" s="21"/>
      <x:c r="L87" s="21"/>
      <x:c r="M87" s="21"/>
      <x:c r="N87" s="21"/>
      <x:c r="O87" s="21"/>
      <x:c r="P87" s="21"/>
      <x:c r="Q87" s="56"/>
      <x:c r="R87" s="56"/>
      <x:c r="S87" s="21"/>
      <x:c r="T87" s="21"/>
      <x:c r="U87" s="21"/>
      <x:c r="V87" s="21"/>
      <x:c r="W87" s="62" t="str">
        <x:f>IF(OR(D87="",E87=""),"",MAX(0,(E87-D87)*1440))</x:f>
      </x:c>
      <x:c r="X87" s="21" t="str">
        <x:f>IF(A87="","",AND(C87="real_user",J87="true",K87="true",L87="true",M87="true",B87&lt;&gt;"",F87&lt;&gt;"",U87=""))</x:f>
      </x:c>
      <x:c r="Y87" s="21" t="str">
        <x:f>IF(A87="","",COUNTIF($A$5:$A$104,A87)&gt;1)</x:f>
      </x:c>
      <x:c r="Z87" s="21" t="str">
        <x:f>IF(B87="","",COUNTIF('参与者'!$A$5:$A$24,B87)=1)</x:f>
      </x:c>
      <x:c r="AA87" s="21" t="str">
        <x:f>IF(N87="","",COUNTIFS('Hook反馈'!$A$5:$A$504,N87,'Hook反馈'!$B$5:$B$504,A87,'Hook反馈'!$E$5:$E$504,"true")=1)</x:f>
      </x:c>
    </x:row>
    <x:row r="88">
      <x:c r="A88" s="21"/>
      <x:c r="B88" s="21"/>
      <x:c r="C88" s="21"/>
      <x:c r="D88" s="60"/>
      <x:c r="E88" s="60"/>
      <x:c r="F88" s="21"/>
      <x:c r="G88" s="21"/>
      <x:c r="H88" s="21"/>
      <x:c r="I88" s="56"/>
      <x:c r="J88" s="21"/>
      <x:c r="K88" s="21"/>
      <x:c r="L88" s="21"/>
      <x:c r="M88" s="21"/>
      <x:c r="N88" s="21"/>
      <x:c r="O88" s="21"/>
      <x:c r="P88" s="21"/>
      <x:c r="Q88" s="56"/>
      <x:c r="R88" s="56"/>
      <x:c r="S88" s="21"/>
      <x:c r="T88" s="21"/>
      <x:c r="U88" s="21"/>
      <x:c r="V88" s="21"/>
      <x:c r="W88" s="62" t="str">
        <x:f>IF(OR(D88="",E88=""),"",MAX(0,(E88-D88)*1440))</x:f>
      </x:c>
      <x:c r="X88" s="21" t="str">
        <x:f>IF(A88="","",AND(C88="real_user",J88="true",K88="true",L88="true",M88="true",B88&lt;&gt;"",F88&lt;&gt;"",U88=""))</x:f>
      </x:c>
      <x:c r="Y88" s="21" t="str">
        <x:f>IF(A88="","",COUNTIF($A$5:$A$104,A88)&gt;1)</x:f>
      </x:c>
      <x:c r="Z88" s="21" t="str">
        <x:f>IF(B88="","",COUNTIF('参与者'!$A$5:$A$24,B88)=1)</x:f>
      </x:c>
      <x:c r="AA88" s="21" t="str">
        <x:f>IF(N88="","",COUNTIFS('Hook反馈'!$A$5:$A$504,N88,'Hook反馈'!$B$5:$B$504,A88,'Hook反馈'!$E$5:$E$504,"true")=1)</x:f>
      </x:c>
    </x:row>
    <x:row r="89">
      <x:c r="A89" s="21"/>
      <x:c r="B89" s="21"/>
      <x:c r="C89" s="21"/>
      <x:c r="D89" s="60"/>
      <x:c r="E89" s="60"/>
      <x:c r="F89" s="21"/>
      <x:c r="G89" s="21"/>
      <x:c r="H89" s="21"/>
      <x:c r="I89" s="56"/>
      <x:c r="J89" s="21"/>
      <x:c r="K89" s="21"/>
      <x:c r="L89" s="21"/>
      <x:c r="M89" s="21"/>
      <x:c r="N89" s="21"/>
      <x:c r="O89" s="21"/>
      <x:c r="P89" s="21"/>
      <x:c r="Q89" s="56"/>
      <x:c r="R89" s="56"/>
      <x:c r="S89" s="21"/>
      <x:c r="T89" s="21"/>
      <x:c r="U89" s="21"/>
      <x:c r="V89" s="21"/>
      <x:c r="W89" s="62" t="str">
        <x:f>IF(OR(D89="",E89=""),"",MAX(0,(E89-D89)*1440))</x:f>
      </x:c>
      <x:c r="X89" s="21" t="str">
        <x:f>IF(A89="","",AND(C89="real_user",J89="true",K89="true",L89="true",M89="true",B89&lt;&gt;"",F89&lt;&gt;"",U89=""))</x:f>
      </x:c>
      <x:c r="Y89" s="21" t="str">
        <x:f>IF(A89="","",COUNTIF($A$5:$A$104,A89)&gt;1)</x:f>
      </x:c>
      <x:c r="Z89" s="21" t="str">
        <x:f>IF(B89="","",COUNTIF('参与者'!$A$5:$A$24,B89)=1)</x:f>
      </x:c>
      <x:c r="AA89" s="21" t="str">
        <x:f>IF(N89="","",COUNTIFS('Hook反馈'!$A$5:$A$504,N89,'Hook反馈'!$B$5:$B$504,A89,'Hook反馈'!$E$5:$E$504,"true")=1)</x:f>
      </x:c>
    </x:row>
    <x:row r="90">
      <x:c r="A90" s="21"/>
      <x:c r="B90" s="21"/>
      <x:c r="C90" s="21"/>
      <x:c r="D90" s="60"/>
      <x:c r="E90" s="60"/>
      <x:c r="F90" s="21"/>
      <x:c r="G90" s="21"/>
      <x:c r="H90" s="21"/>
      <x:c r="I90" s="56"/>
      <x:c r="J90" s="21"/>
      <x:c r="K90" s="21"/>
      <x:c r="L90" s="21"/>
      <x:c r="M90" s="21"/>
      <x:c r="N90" s="21"/>
      <x:c r="O90" s="21"/>
      <x:c r="P90" s="21"/>
      <x:c r="Q90" s="56"/>
      <x:c r="R90" s="56"/>
      <x:c r="S90" s="21"/>
      <x:c r="T90" s="21"/>
      <x:c r="U90" s="21"/>
      <x:c r="V90" s="21"/>
      <x:c r="W90" s="62" t="str">
        <x:f>IF(OR(D90="",E90=""),"",MAX(0,(E90-D90)*1440))</x:f>
      </x:c>
      <x:c r="X90" s="21" t="str">
        <x:f>IF(A90="","",AND(C90="real_user",J90="true",K90="true",L90="true",M90="true",B90&lt;&gt;"",F90&lt;&gt;"",U90=""))</x:f>
      </x:c>
      <x:c r="Y90" s="21" t="str">
        <x:f>IF(A90="","",COUNTIF($A$5:$A$104,A90)&gt;1)</x:f>
      </x:c>
      <x:c r="Z90" s="21" t="str">
        <x:f>IF(B90="","",COUNTIF('参与者'!$A$5:$A$24,B90)=1)</x:f>
      </x:c>
      <x:c r="AA90" s="21" t="str">
        <x:f>IF(N90="","",COUNTIFS('Hook反馈'!$A$5:$A$504,N90,'Hook反馈'!$B$5:$B$504,A90,'Hook反馈'!$E$5:$E$504,"true")=1)</x:f>
      </x:c>
    </x:row>
    <x:row r="91">
      <x:c r="A91" s="21"/>
      <x:c r="B91" s="21"/>
      <x:c r="C91" s="21"/>
      <x:c r="D91" s="60"/>
      <x:c r="E91" s="60"/>
      <x:c r="F91" s="21"/>
      <x:c r="G91" s="21"/>
      <x:c r="H91" s="21"/>
      <x:c r="I91" s="56"/>
      <x:c r="J91" s="21"/>
      <x:c r="K91" s="21"/>
      <x:c r="L91" s="21"/>
      <x:c r="M91" s="21"/>
      <x:c r="N91" s="21"/>
      <x:c r="O91" s="21"/>
      <x:c r="P91" s="21"/>
      <x:c r="Q91" s="56"/>
      <x:c r="R91" s="56"/>
      <x:c r="S91" s="21"/>
      <x:c r="T91" s="21"/>
      <x:c r="U91" s="21"/>
      <x:c r="V91" s="21"/>
      <x:c r="W91" s="62" t="str">
        <x:f>IF(OR(D91="",E91=""),"",MAX(0,(E91-D91)*1440))</x:f>
      </x:c>
      <x:c r="X91" s="21" t="str">
        <x:f>IF(A91="","",AND(C91="real_user",J91="true",K91="true",L91="true",M91="true",B91&lt;&gt;"",F91&lt;&gt;"",U91=""))</x:f>
      </x:c>
      <x:c r="Y91" s="21" t="str">
        <x:f>IF(A91="","",COUNTIF($A$5:$A$104,A91)&gt;1)</x:f>
      </x:c>
      <x:c r="Z91" s="21" t="str">
        <x:f>IF(B91="","",COUNTIF('参与者'!$A$5:$A$24,B91)=1)</x:f>
      </x:c>
      <x:c r="AA91" s="21" t="str">
        <x:f>IF(N91="","",COUNTIFS('Hook反馈'!$A$5:$A$504,N91,'Hook反馈'!$B$5:$B$504,A91,'Hook反馈'!$E$5:$E$504,"true")=1)</x:f>
      </x:c>
    </x:row>
    <x:row r="92">
      <x:c r="A92" s="21"/>
      <x:c r="B92" s="21"/>
      <x:c r="C92" s="21"/>
      <x:c r="D92" s="60"/>
      <x:c r="E92" s="60"/>
      <x:c r="F92" s="21"/>
      <x:c r="G92" s="21"/>
      <x:c r="H92" s="21"/>
      <x:c r="I92" s="56"/>
      <x:c r="J92" s="21"/>
      <x:c r="K92" s="21"/>
      <x:c r="L92" s="21"/>
      <x:c r="M92" s="21"/>
      <x:c r="N92" s="21"/>
      <x:c r="O92" s="21"/>
      <x:c r="P92" s="21"/>
      <x:c r="Q92" s="56"/>
      <x:c r="R92" s="56"/>
      <x:c r="S92" s="21"/>
      <x:c r="T92" s="21"/>
      <x:c r="U92" s="21"/>
      <x:c r="V92" s="21"/>
      <x:c r="W92" s="62" t="str">
        <x:f>IF(OR(D92="",E92=""),"",MAX(0,(E92-D92)*1440))</x:f>
      </x:c>
      <x:c r="X92" s="21" t="str">
        <x:f>IF(A92="","",AND(C92="real_user",J92="true",K92="true",L92="true",M92="true",B92&lt;&gt;"",F92&lt;&gt;"",U92=""))</x:f>
      </x:c>
      <x:c r="Y92" s="21" t="str">
        <x:f>IF(A92="","",COUNTIF($A$5:$A$104,A92)&gt;1)</x:f>
      </x:c>
      <x:c r="Z92" s="21" t="str">
        <x:f>IF(B92="","",COUNTIF('参与者'!$A$5:$A$24,B92)=1)</x:f>
      </x:c>
      <x:c r="AA92" s="21" t="str">
        <x:f>IF(N92="","",COUNTIFS('Hook反馈'!$A$5:$A$504,N92,'Hook反馈'!$B$5:$B$504,A92,'Hook反馈'!$E$5:$E$504,"true")=1)</x:f>
      </x:c>
    </x:row>
    <x:row r="93">
      <x:c r="A93" s="21"/>
      <x:c r="B93" s="21"/>
      <x:c r="C93" s="21"/>
      <x:c r="D93" s="60"/>
      <x:c r="E93" s="60"/>
      <x:c r="F93" s="21"/>
      <x:c r="G93" s="21"/>
      <x:c r="H93" s="21"/>
      <x:c r="I93" s="56"/>
      <x:c r="J93" s="21"/>
      <x:c r="K93" s="21"/>
      <x:c r="L93" s="21"/>
      <x:c r="M93" s="21"/>
      <x:c r="N93" s="21"/>
      <x:c r="O93" s="21"/>
      <x:c r="P93" s="21"/>
      <x:c r="Q93" s="56"/>
      <x:c r="R93" s="56"/>
      <x:c r="S93" s="21"/>
      <x:c r="T93" s="21"/>
      <x:c r="U93" s="21"/>
      <x:c r="V93" s="21"/>
      <x:c r="W93" s="62" t="str">
        <x:f>IF(OR(D93="",E93=""),"",MAX(0,(E93-D93)*1440))</x:f>
      </x:c>
      <x:c r="X93" s="21" t="str">
        <x:f>IF(A93="","",AND(C93="real_user",J93="true",K93="true",L93="true",M93="true",B93&lt;&gt;"",F93&lt;&gt;"",U93=""))</x:f>
      </x:c>
      <x:c r="Y93" s="21" t="str">
        <x:f>IF(A93="","",COUNTIF($A$5:$A$104,A93)&gt;1)</x:f>
      </x:c>
      <x:c r="Z93" s="21" t="str">
        <x:f>IF(B93="","",COUNTIF('参与者'!$A$5:$A$24,B93)=1)</x:f>
      </x:c>
      <x:c r="AA93" s="21" t="str">
        <x:f>IF(N93="","",COUNTIFS('Hook反馈'!$A$5:$A$504,N93,'Hook反馈'!$B$5:$B$504,A93,'Hook反馈'!$E$5:$E$504,"true")=1)</x:f>
      </x:c>
    </x:row>
    <x:row r="94">
      <x:c r="A94" s="21"/>
      <x:c r="B94" s="21"/>
      <x:c r="C94" s="21"/>
      <x:c r="D94" s="60"/>
      <x:c r="E94" s="60"/>
      <x:c r="F94" s="21"/>
      <x:c r="G94" s="21"/>
      <x:c r="H94" s="21"/>
      <x:c r="I94" s="56"/>
      <x:c r="J94" s="21"/>
      <x:c r="K94" s="21"/>
      <x:c r="L94" s="21"/>
      <x:c r="M94" s="21"/>
      <x:c r="N94" s="21"/>
      <x:c r="O94" s="21"/>
      <x:c r="P94" s="21"/>
      <x:c r="Q94" s="56"/>
      <x:c r="R94" s="56"/>
      <x:c r="S94" s="21"/>
      <x:c r="T94" s="21"/>
      <x:c r="U94" s="21"/>
      <x:c r="V94" s="21"/>
      <x:c r="W94" s="62" t="str">
        <x:f>IF(OR(D94="",E94=""),"",MAX(0,(E94-D94)*1440))</x:f>
      </x:c>
      <x:c r="X94" s="21" t="str">
        <x:f>IF(A94="","",AND(C94="real_user",J94="true",K94="true",L94="true",M94="true",B94&lt;&gt;"",F94&lt;&gt;"",U94=""))</x:f>
      </x:c>
      <x:c r="Y94" s="21" t="str">
        <x:f>IF(A94="","",COUNTIF($A$5:$A$104,A94)&gt;1)</x:f>
      </x:c>
      <x:c r="Z94" s="21" t="str">
        <x:f>IF(B94="","",COUNTIF('参与者'!$A$5:$A$24,B94)=1)</x:f>
      </x:c>
      <x:c r="AA94" s="21" t="str">
        <x:f>IF(N94="","",COUNTIFS('Hook反馈'!$A$5:$A$504,N94,'Hook反馈'!$B$5:$B$504,A94,'Hook反馈'!$E$5:$E$504,"true")=1)</x:f>
      </x:c>
    </x:row>
    <x:row r="95">
      <x:c r="A95" s="21"/>
      <x:c r="B95" s="21"/>
      <x:c r="C95" s="21"/>
      <x:c r="D95" s="60"/>
      <x:c r="E95" s="60"/>
      <x:c r="F95" s="21"/>
      <x:c r="G95" s="21"/>
      <x:c r="H95" s="21"/>
      <x:c r="I95" s="56"/>
      <x:c r="J95" s="21"/>
      <x:c r="K95" s="21"/>
      <x:c r="L95" s="21"/>
      <x:c r="M95" s="21"/>
      <x:c r="N95" s="21"/>
      <x:c r="O95" s="21"/>
      <x:c r="P95" s="21"/>
      <x:c r="Q95" s="56"/>
      <x:c r="R95" s="56"/>
      <x:c r="S95" s="21"/>
      <x:c r="T95" s="21"/>
      <x:c r="U95" s="21"/>
      <x:c r="V95" s="21"/>
      <x:c r="W95" s="62" t="str">
        <x:f>IF(OR(D95="",E95=""),"",MAX(0,(E95-D95)*1440))</x:f>
      </x:c>
      <x:c r="X95" s="21" t="str">
        <x:f>IF(A95="","",AND(C95="real_user",J95="true",K95="true",L95="true",M95="true",B95&lt;&gt;"",F95&lt;&gt;"",U95=""))</x:f>
      </x:c>
      <x:c r="Y95" s="21" t="str">
        <x:f>IF(A95="","",COUNTIF($A$5:$A$104,A95)&gt;1)</x:f>
      </x:c>
      <x:c r="Z95" s="21" t="str">
        <x:f>IF(B95="","",COUNTIF('参与者'!$A$5:$A$24,B95)=1)</x:f>
      </x:c>
      <x:c r="AA95" s="21" t="str">
        <x:f>IF(N95="","",COUNTIFS('Hook反馈'!$A$5:$A$504,N95,'Hook反馈'!$B$5:$B$504,A95,'Hook反馈'!$E$5:$E$504,"true")=1)</x:f>
      </x:c>
    </x:row>
    <x:row r="96">
      <x:c r="A96" s="21"/>
      <x:c r="B96" s="21"/>
      <x:c r="C96" s="21"/>
      <x:c r="D96" s="60"/>
      <x:c r="E96" s="60"/>
      <x:c r="F96" s="21"/>
      <x:c r="G96" s="21"/>
      <x:c r="H96" s="21"/>
      <x:c r="I96" s="56"/>
      <x:c r="J96" s="21"/>
      <x:c r="K96" s="21"/>
      <x:c r="L96" s="21"/>
      <x:c r="M96" s="21"/>
      <x:c r="N96" s="21"/>
      <x:c r="O96" s="21"/>
      <x:c r="P96" s="21"/>
      <x:c r="Q96" s="56"/>
      <x:c r="R96" s="56"/>
      <x:c r="S96" s="21"/>
      <x:c r="T96" s="21"/>
      <x:c r="U96" s="21"/>
      <x:c r="V96" s="21"/>
      <x:c r="W96" s="62" t="str">
        <x:f>IF(OR(D96="",E96=""),"",MAX(0,(E96-D96)*1440))</x:f>
      </x:c>
      <x:c r="X96" s="21" t="str">
        <x:f>IF(A96="","",AND(C96="real_user",J96="true",K96="true",L96="true",M96="true",B96&lt;&gt;"",F96&lt;&gt;"",U96=""))</x:f>
      </x:c>
      <x:c r="Y96" s="21" t="str">
        <x:f>IF(A96="","",COUNTIF($A$5:$A$104,A96)&gt;1)</x:f>
      </x:c>
      <x:c r="Z96" s="21" t="str">
        <x:f>IF(B96="","",COUNTIF('参与者'!$A$5:$A$24,B96)=1)</x:f>
      </x:c>
      <x:c r="AA96" s="21" t="str">
        <x:f>IF(N96="","",COUNTIFS('Hook反馈'!$A$5:$A$504,N96,'Hook反馈'!$B$5:$B$504,A96,'Hook反馈'!$E$5:$E$504,"true")=1)</x:f>
      </x:c>
    </x:row>
    <x:row r="97">
      <x:c r="A97" s="21"/>
      <x:c r="B97" s="21"/>
      <x:c r="C97" s="21"/>
      <x:c r="D97" s="60"/>
      <x:c r="E97" s="60"/>
      <x:c r="F97" s="21"/>
      <x:c r="G97" s="21"/>
      <x:c r="H97" s="21"/>
      <x:c r="I97" s="56"/>
      <x:c r="J97" s="21"/>
      <x:c r="K97" s="21"/>
      <x:c r="L97" s="21"/>
      <x:c r="M97" s="21"/>
      <x:c r="N97" s="21"/>
      <x:c r="O97" s="21"/>
      <x:c r="P97" s="21"/>
      <x:c r="Q97" s="56"/>
      <x:c r="R97" s="56"/>
      <x:c r="S97" s="21"/>
      <x:c r="T97" s="21"/>
      <x:c r="U97" s="21"/>
      <x:c r="V97" s="21"/>
      <x:c r="W97" s="62" t="str">
        <x:f>IF(OR(D97="",E97=""),"",MAX(0,(E97-D97)*1440))</x:f>
      </x:c>
      <x:c r="X97" s="21" t="str">
        <x:f>IF(A97="","",AND(C97="real_user",J97="true",K97="true",L97="true",M97="true",B97&lt;&gt;"",F97&lt;&gt;"",U97=""))</x:f>
      </x:c>
      <x:c r="Y97" s="21" t="str">
        <x:f>IF(A97="","",COUNTIF($A$5:$A$104,A97)&gt;1)</x:f>
      </x:c>
      <x:c r="Z97" s="21" t="str">
        <x:f>IF(B97="","",COUNTIF('参与者'!$A$5:$A$24,B97)=1)</x:f>
      </x:c>
      <x:c r="AA97" s="21" t="str">
        <x:f>IF(N97="","",COUNTIFS('Hook反馈'!$A$5:$A$504,N97,'Hook反馈'!$B$5:$B$504,A97,'Hook反馈'!$E$5:$E$504,"true")=1)</x:f>
      </x:c>
    </x:row>
    <x:row r="98">
      <x:c r="A98" s="21"/>
      <x:c r="B98" s="21"/>
      <x:c r="C98" s="21"/>
      <x:c r="D98" s="60"/>
      <x:c r="E98" s="60"/>
      <x:c r="F98" s="21"/>
      <x:c r="G98" s="21"/>
      <x:c r="H98" s="21"/>
      <x:c r="I98" s="56"/>
      <x:c r="J98" s="21"/>
      <x:c r="K98" s="21"/>
      <x:c r="L98" s="21"/>
      <x:c r="M98" s="21"/>
      <x:c r="N98" s="21"/>
      <x:c r="O98" s="21"/>
      <x:c r="P98" s="21"/>
      <x:c r="Q98" s="56"/>
      <x:c r="R98" s="56"/>
      <x:c r="S98" s="21"/>
      <x:c r="T98" s="21"/>
      <x:c r="U98" s="21"/>
      <x:c r="V98" s="21"/>
      <x:c r="W98" s="62" t="str">
        <x:f>IF(OR(D98="",E98=""),"",MAX(0,(E98-D98)*1440))</x:f>
      </x:c>
      <x:c r="X98" s="21" t="str">
        <x:f>IF(A98="","",AND(C98="real_user",J98="true",K98="true",L98="true",M98="true",B98&lt;&gt;"",F98&lt;&gt;"",U98=""))</x:f>
      </x:c>
      <x:c r="Y98" s="21" t="str">
        <x:f>IF(A98="","",COUNTIF($A$5:$A$104,A98)&gt;1)</x:f>
      </x:c>
      <x:c r="Z98" s="21" t="str">
        <x:f>IF(B98="","",COUNTIF('参与者'!$A$5:$A$24,B98)=1)</x:f>
      </x:c>
      <x:c r="AA98" s="21" t="str">
        <x:f>IF(N98="","",COUNTIFS('Hook反馈'!$A$5:$A$504,N98,'Hook反馈'!$B$5:$B$504,A98,'Hook反馈'!$E$5:$E$504,"true")=1)</x:f>
      </x:c>
    </x:row>
    <x:row r="99">
      <x:c r="A99" s="21"/>
      <x:c r="B99" s="21"/>
      <x:c r="C99" s="21"/>
      <x:c r="D99" s="60"/>
      <x:c r="E99" s="60"/>
      <x:c r="F99" s="21"/>
      <x:c r="G99" s="21"/>
      <x:c r="H99" s="21"/>
      <x:c r="I99" s="56"/>
      <x:c r="J99" s="21"/>
      <x:c r="K99" s="21"/>
      <x:c r="L99" s="21"/>
      <x:c r="M99" s="21"/>
      <x:c r="N99" s="21"/>
      <x:c r="O99" s="21"/>
      <x:c r="P99" s="21"/>
      <x:c r="Q99" s="56"/>
      <x:c r="R99" s="56"/>
      <x:c r="S99" s="21"/>
      <x:c r="T99" s="21"/>
      <x:c r="U99" s="21"/>
      <x:c r="V99" s="21"/>
      <x:c r="W99" s="62" t="str">
        <x:f>IF(OR(D99="",E99=""),"",MAX(0,(E99-D99)*1440))</x:f>
      </x:c>
      <x:c r="X99" s="21" t="str">
        <x:f>IF(A99="","",AND(C99="real_user",J99="true",K99="true",L99="true",M99="true",B99&lt;&gt;"",F99&lt;&gt;"",U99=""))</x:f>
      </x:c>
      <x:c r="Y99" s="21" t="str">
        <x:f>IF(A99="","",COUNTIF($A$5:$A$104,A99)&gt;1)</x:f>
      </x:c>
      <x:c r="Z99" s="21" t="str">
        <x:f>IF(B99="","",COUNTIF('参与者'!$A$5:$A$24,B99)=1)</x:f>
      </x:c>
      <x:c r="AA99" s="21" t="str">
        <x:f>IF(N99="","",COUNTIFS('Hook反馈'!$A$5:$A$504,N99,'Hook反馈'!$B$5:$B$504,A99,'Hook反馈'!$E$5:$E$504,"true")=1)</x:f>
      </x:c>
    </x:row>
    <x:row r="100">
      <x:c r="A100" s="21"/>
      <x:c r="B100" s="21"/>
      <x:c r="C100" s="21"/>
      <x:c r="D100" s="60"/>
      <x:c r="E100" s="60"/>
      <x:c r="F100" s="21"/>
      <x:c r="G100" s="21"/>
      <x:c r="H100" s="21"/>
      <x:c r="I100" s="56"/>
      <x:c r="J100" s="21"/>
      <x:c r="K100" s="21"/>
      <x:c r="L100" s="21"/>
      <x:c r="M100" s="21"/>
      <x:c r="N100" s="21"/>
      <x:c r="O100" s="21"/>
      <x:c r="P100" s="21"/>
      <x:c r="Q100" s="56"/>
      <x:c r="R100" s="56"/>
      <x:c r="S100" s="21"/>
      <x:c r="T100" s="21"/>
      <x:c r="U100" s="21"/>
      <x:c r="V100" s="21"/>
      <x:c r="W100" s="62" t="str">
        <x:f>IF(OR(D100="",E100=""),"",MAX(0,(E100-D100)*1440))</x:f>
      </x:c>
      <x:c r="X100" s="21" t="str">
        <x:f>IF(A100="","",AND(C100="real_user",J100="true",K100="true",L100="true",M100="true",B100&lt;&gt;"",F100&lt;&gt;"",U100=""))</x:f>
      </x:c>
      <x:c r="Y100" s="21" t="str">
        <x:f>IF(A100="","",COUNTIF($A$5:$A$104,A100)&gt;1)</x:f>
      </x:c>
      <x:c r="Z100" s="21" t="str">
        <x:f>IF(B100="","",COUNTIF('参与者'!$A$5:$A$24,B100)=1)</x:f>
      </x:c>
      <x:c r="AA100" s="21" t="str">
        <x:f>IF(N100="","",COUNTIFS('Hook反馈'!$A$5:$A$504,N100,'Hook反馈'!$B$5:$B$504,A100,'Hook反馈'!$E$5:$E$504,"true")=1)</x:f>
      </x:c>
    </x:row>
    <x:row r="101">
      <x:c r="A101" s="21"/>
      <x:c r="B101" s="21"/>
      <x:c r="C101" s="21"/>
      <x:c r="D101" s="60"/>
      <x:c r="E101" s="60"/>
      <x:c r="F101" s="21"/>
      <x:c r="G101" s="21"/>
      <x:c r="H101" s="21"/>
      <x:c r="I101" s="56"/>
      <x:c r="J101" s="21"/>
      <x:c r="K101" s="21"/>
      <x:c r="L101" s="21"/>
      <x:c r="M101" s="21"/>
      <x:c r="N101" s="21"/>
      <x:c r="O101" s="21"/>
      <x:c r="P101" s="21"/>
      <x:c r="Q101" s="56"/>
      <x:c r="R101" s="56"/>
      <x:c r="S101" s="21"/>
      <x:c r="T101" s="21"/>
      <x:c r="U101" s="21"/>
      <x:c r="V101" s="21"/>
      <x:c r="W101" s="62" t="str">
        <x:f>IF(OR(D101="",E101=""),"",MAX(0,(E101-D101)*1440))</x:f>
      </x:c>
      <x:c r="X101" s="21" t="str">
        <x:f>IF(A101="","",AND(C101="real_user",J101="true",K101="true",L101="true",M101="true",B101&lt;&gt;"",F101&lt;&gt;"",U101=""))</x:f>
      </x:c>
      <x:c r="Y101" s="21" t="str">
        <x:f>IF(A101="","",COUNTIF($A$5:$A$104,A101)&gt;1)</x:f>
      </x:c>
      <x:c r="Z101" s="21" t="str">
        <x:f>IF(B101="","",COUNTIF('参与者'!$A$5:$A$24,B101)=1)</x:f>
      </x:c>
      <x:c r="AA101" s="21" t="str">
        <x:f>IF(N101="","",COUNTIFS('Hook反馈'!$A$5:$A$504,N101,'Hook反馈'!$B$5:$B$504,A101,'Hook反馈'!$E$5:$E$504,"true")=1)</x:f>
      </x:c>
    </x:row>
    <x:row r="102">
      <x:c r="A102" s="21"/>
      <x:c r="B102" s="21"/>
      <x:c r="C102" s="21"/>
      <x:c r="D102" s="60"/>
      <x:c r="E102" s="60"/>
      <x:c r="F102" s="21"/>
      <x:c r="G102" s="21"/>
      <x:c r="H102" s="21"/>
      <x:c r="I102" s="56"/>
      <x:c r="J102" s="21"/>
      <x:c r="K102" s="21"/>
      <x:c r="L102" s="21"/>
      <x:c r="M102" s="21"/>
      <x:c r="N102" s="21"/>
      <x:c r="O102" s="21"/>
      <x:c r="P102" s="21"/>
      <x:c r="Q102" s="56"/>
      <x:c r="R102" s="56"/>
      <x:c r="S102" s="21"/>
      <x:c r="T102" s="21"/>
      <x:c r="U102" s="21"/>
      <x:c r="V102" s="21"/>
      <x:c r="W102" s="62" t="str">
        <x:f>IF(OR(D102="",E102=""),"",MAX(0,(E102-D102)*1440))</x:f>
      </x:c>
      <x:c r="X102" s="21" t="str">
        <x:f>IF(A102="","",AND(C102="real_user",J102="true",K102="true",L102="true",M102="true",B102&lt;&gt;"",F102&lt;&gt;"",U102=""))</x:f>
      </x:c>
      <x:c r="Y102" s="21" t="str">
        <x:f>IF(A102="","",COUNTIF($A$5:$A$104,A102)&gt;1)</x:f>
      </x:c>
      <x:c r="Z102" s="21" t="str">
        <x:f>IF(B102="","",COUNTIF('参与者'!$A$5:$A$24,B102)=1)</x:f>
      </x:c>
      <x:c r="AA102" s="21" t="str">
        <x:f>IF(N102="","",COUNTIFS('Hook反馈'!$A$5:$A$504,N102,'Hook反馈'!$B$5:$B$504,A102,'Hook反馈'!$E$5:$E$504,"true")=1)</x:f>
      </x:c>
    </x:row>
    <x:row r="103">
      <x:c r="A103" s="21"/>
      <x:c r="B103" s="21"/>
      <x:c r="C103" s="21"/>
      <x:c r="D103" s="60"/>
      <x:c r="E103" s="60"/>
      <x:c r="F103" s="21"/>
      <x:c r="G103" s="21"/>
      <x:c r="H103" s="21"/>
      <x:c r="I103" s="56"/>
      <x:c r="J103" s="21"/>
      <x:c r="K103" s="21"/>
      <x:c r="L103" s="21"/>
      <x:c r="M103" s="21"/>
      <x:c r="N103" s="21"/>
      <x:c r="O103" s="21"/>
      <x:c r="P103" s="21"/>
      <x:c r="Q103" s="56"/>
      <x:c r="R103" s="56"/>
      <x:c r="S103" s="21"/>
      <x:c r="T103" s="21"/>
      <x:c r="U103" s="21"/>
      <x:c r="V103" s="21"/>
      <x:c r="W103" s="62" t="str">
        <x:f>IF(OR(D103="",E103=""),"",MAX(0,(E103-D103)*1440))</x:f>
      </x:c>
      <x:c r="X103" s="21" t="str">
        <x:f>IF(A103="","",AND(C103="real_user",J103="true",K103="true",L103="true",M103="true",B103&lt;&gt;"",F103&lt;&gt;"",U103=""))</x:f>
      </x:c>
      <x:c r="Y103" s="21" t="str">
        <x:f>IF(A103="","",COUNTIF($A$5:$A$104,A103)&gt;1)</x:f>
      </x:c>
      <x:c r="Z103" s="21" t="str">
        <x:f>IF(B103="","",COUNTIF('参与者'!$A$5:$A$24,B103)=1)</x:f>
      </x:c>
      <x:c r="AA103" s="21" t="str">
        <x:f>IF(N103="","",COUNTIFS('Hook反馈'!$A$5:$A$504,N103,'Hook反馈'!$B$5:$B$504,A103,'Hook反馈'!$E$5:$E$504,"true")=1)</x:f>
      </x:c>
    </x:row>
    <x:row r="104">
      <x:c r="A104" s="21"/>
      <x:c r="B104" s="21"/>
      <x:c r="C104" s="21"/>
      <x:c r="D104" s="60"/>
      <x:c r="E104" s="60"/>
      <x:c r="F104" s="21"/>
      <x:c r="G104" s="21"/>
      <x:c r="H104" s="21"/>
      <x:c r="I104" s="56"/>
      <x:c r="J104" s="21"/>
      <x:c r="K104" s="21"/>
      <x:c r="L104" s="21"/>
      <x:c r="M104" s="21"/>
      <x:c r="N104" s="21"/>
      <x:c r="O104" s="21"/>
      <x:c r="P104" s="21"/>
      <x:c r="Q104" s="56"/>
      <x:c r="R104" s="56"/>
      <x:c r="S104" s="21"/>
      <x:c r="T104" s="21"/>
      <x:c r="U104" s="21"/>
      <x:c r="V104" s="21"/>
      <x:c r="W104" s="62" t="str">
        <x:f>IF(OR(D104="",E104=""),"",MAX(0,(E104-D104)*1440))</x:f>
      </x:c>
      <x:c r="X104" s="21" t="str">
        <x:f>IF(A104="","",AND(C104="real_user",J104="true",K104="true",L104="true",M104="true",B104&lt;&gt;"",F104&lt;&gt;"",U104=""))</x:f>
      </x:c>
      <x:c r="Y104" s="21" t="str">
        <x:f>IF(A104="","",COUNTIF($A$5:$A$104,A104)&gt;1)</x:f>
      </x:c>
      <x:c r="Z104" s="21" t="str">
        <x:f>IF(B104="","",COUNTIF('参与者'!$A$5:$A$24,B104)=1)</x:f>
      </x:c>
      <x:c r="AA104" s="21" t="str">
        <x:f>IF(N104="","",COUNTIFS('Hook反馈'!$A$5:$A$504,N104,'Hook反馈'!$B$5:$B$504,A104,'Hook反馈'!$E$5:$E$504,"true")=1)</x:f>
      </x:c>
    </x:row>
  </x:sheetData>
  <x:mergeCells>
    <x:mergeCell ref="A1:AA1"/>
    <x:mergeCell ref="A2:AA2"/>
  </x:mergeCells>
  <x:dataValidations count="14">
    <x:dataValidation type="list" sqref="C5:C104">
      <x:formula1>"real_user"</x:formula1>
    </x:dataValidation>
    <x:dataValidation type="list" sqref="G5:G104">
      <x:formula1>"xiaohongshu,douyin,bilibili,youtube,x"</x:formula1>
    </x:dataValidation>
    <x:dataValidation type="list" sqref="H5:H104">
      <x:formula1>"video,image-text,product-ad,tutorial,opinion"</x:formula1>
    </x:dataValidation>
    <x:dataValidation type="list" sqref="I5:I104">
      <x:formula1>"5,10"</x:formula1>
    </x:dataValidation>
    <x:dataValidation type="list" sqref="J5:J104">
      <x:formula1>"true,false"</x:formula1>
    </x:dataValidation>
    <x:dataValidation type="list" sqref="K5:K104">
      <x:formula1>"true,false"</x:formula1>
    </x:dataValidation>
    <x:dataValidation type="list" sqref="L5:L104">
      <x:formula1>"true,false"</x:formula1>
    </x:dataValidation>
    <x:dataValidation type="list" sqref="M5:M104">
      <x:formula1>"true,false"</x:formula1>
    </x:dataValidation>
    <x:dataValidation type="list" sqref="P5:P104">
      <x:formula1>"true,false"</x:formula1>
    </x:dataValidation>
    <x:dataValidation type="list" sqref="S5:S104">
      <x:formula1>"true,false"</x:formula1>
    </x:dataValidation>
    <x:dataValidation type="list" sqref="T5:T104">
      <x:formula1>"true,false"</x:formula1>
    </x:dataValidation>
    <x:dataValidation type="list" sqref="O5:O104">
      <x:formula1>"direct_use,light_edit,heavy_rewrite,reference_only,abandoned"</x:formula1>
    </x:dataValidation>
    <x:dataValidation type="list" sqref="Q5:Q104">
      <x:formula1>"1,2,3,4,5"</x:formula1>
    </x:dataValidation>
    <x:dataValidation type="list" sqref="U5:U104">
      <x:formula1>",missing_linkage,incomplete_task,duplicate_conflict,withdrawn,privacy_risk,other"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90a27e3e024f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28" hidden="0" customWidth="1"/>
    <x:col min="7" max="7" width="28" hidden="0" customWidth="1"/>
    <x:col min="8" max="8" width="28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34" customHeight="1">
      <x:c r="A1" s="3" t="str">
        <x:v>逐 Hook 原始记录</x:v>
      </x:c>
      <x:c r="B1" s="3" t="str">
        <x:v>逐 Hook 原始记录</x:v>
      </x:c>
      <x:c r="C1" s="3" t="str">
        <x:v>逐 Hook 原始记录</x:v>
      </x:c>
      <x:c r="D1" s="3" t="str">
        <x:v>逐 Hook 原始记录</x:v>
      </x:c>
      <x:c r="E1" s="3" t="str">
        <x:v>逐 Hook 原始记录</x:v>
      </x:c>
      <x:c r="F1" s="3" t="str">
        <x:v>逐 Hook 原始记录</x:v>
      </x:c>
      <x:c r="G1" s="3" t="str">
        <x:v>逐 Hook 原始记录</x:v>
      </x:c>
      <x:c r="H1" s="3" t="str">
        <x:v>逐 Hook 原始记录</x:v>
      </x:c>
      <x:c r="I1" s="3" t="str">
        <x:v>逐 Hook 原始记录</x:v>
      </x:c>
      <x:c r="J1" s="3" t="str">
        <x:v>逐 Hook 原始记录</x:v>
      </x:c>
      <x:c r="K1" s="3" t="str">
        <x:v>逐 Hook 原始记录</x:v>
      </x:c>
      <x:c r="L1" s="3" t="str">
        <x:v>逐 Hook 原始记录</x:v>
      </x:c>
    </x:row>
    <x:row r="2" ht="30" customHeight="1">
      <x:c r="A2" s="7" t="str">
        <x:v>每行一个 Hook。公开 CSV 需要从本表与任务记录中生成，不得手工反推结果。</x:v>
      </x:c>
      <x:c r="B2" s="7" t="str">
        <x:v>每行一个 Hook。公开 CSV 需要从本表与任务记录中生成，不得手工反推结果。</x:v>
      </x:c>
      <x:c r="C2" s="7" t="str">
        <x:v>每行一个 Hook。公开 CSV 需要从本表与任务记录中生成，不得手工反推结果。</x:v>
      </x:c>
      <x:c r="D2" s="7" t="str">
        <x:v>每行一个 Hook。公开 CSV 需要从本表与任务记录中生成，不得手工反推结果。</x:v>
      </x:c>
      <x:c r="E2" s="7" t="str">
        <x:v>每行一个 Hook。公开 CSV 需要从本表与任务记录中生成，不得手工反推结果。</x:v>
      </x:c>
      <x:c r="F2" s="7" t="str">
        <x:v>每行一个 Hook。公开 CSV 需要从本表与任务记录中生成，不得手工反推结果。</x:v>
      </x:c>
      <x:c r="G2" s="7" t="str">
        <x:v>每行一个 Hook。公开 CSV 需要从本表与任务记录中生成，不得手工反推结果。</x:v>
      </x:c>
      <x:c r="H2" s="7" t="str">
        <x:v>每行一个 Hook。公开 CSV 需要从本表与任务记录中生成，不得手工反推结果。</x:v>
      </x:c>
      <x:c r="I2" s="7" t="str">
        <x:v>每行一个 Hook。公开 CSV 需要从本表与任务记录中生成，不得手工反推结果。</x:v>
      </x:c>
      <x:c r="J2" s="7" t="str">
        <x:v>每行一个 Hook。公开 CSV 需要从本表与任务记录中生成，不得手工反推结果。</x:v>
      </x:c>
      <x:c r="K2" s="7" t="str">
        <x:v>每行一个 Hook。公开 CSV 需要从本表与任务记录中生成，不得手工反推结果。</x:v>
      </x:c>
      <x:c r="L2" s="7" t="str">
        <x:v>每行一个 Hook。公开 CSV 需要从本表与任务记录中生成，不得手工反推结果。</x:v>
      </x:c>
    </x:row>
    <x:row r="4" ht="32" customHeight="1">
      <x:c r="A4" s="14" t="str">
        <x:v>hook_id</x:v>
      </x:c>
      <x:c r="B4" s="54" t="str">
        <x:v>task_id</x:v>
      </x:c>
      <x:c r="C4" s="54" t="str">
        <x:v>position</x:v>
      </x:c>
      <x:c r="D4" s="54" t="str">
        <x:v>favorited</x:v>
      </x:c>
      <x:c r="E4" s="54" t="str">
        <x:v>selected</x:v>
      </x:c>
      <x:c r="F4" s="54" t="str">
        <x:v>bad_case_tags</x:v>
      </x:c>
      <x:c r="G4" s="54" t="str">
        <x:v>guardrail_triggered</x:v>
      </x:c>
      <x:c r="H4" s="54" t="str">
        <x:v>guardrail_type</x:v>
      </x:c>
      <x:c r="I4" s="54" t="str">
        <x:v>duplicate_hook_id</x:v>
      </x:c>
      <x:c r="J4" s="54" t="str">
        <x:v>task_reference_valid</x:v>
      </x:c>
      <x:c r="K4" s="54" t="str">
        <x:v>selected_count_in_task</x:v>
      </x:c>
      <x:c r="L4" s="15" t="str">
        <x:v>row_valid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 t="str">
        <x:f>IF(A5="","",COUNTIF($A$5:$A$504,A5)&gt;1)</x:f>
      </x:c>
      <x:c r="J5" s="20" t="str">
        <x:f>IF(B5="","",COUNTIF('任务记录'!$A$5:$A$104,B5)=1)</x:f>
      </x:c>
      <x:c r="K5" s="20" t="str">
        <x:f>IF(B5="","",COUNTIFS($B$5:$B$504,B5,$E$5:$E$504,"true"))</x:f>
      </x:c>
      <x:c r="L5" s="20" t="str">
        <x:f>IF(A5="","",AND(I5=FALSE,J5=TRUE,K5&lt;=1))</x:f>
      </x:c>
    </x:row>
    <x:row r="6">
      <x:c r="A6" s="21"/>
      <x:c r="B6" s="21"/>
      <x:c r="C6" s="21"/>
      <x:c r="D6" s="21"/>
      <x:c r="E6" s="21"/>
      <x:c r="F6" s="21"/>
      <x:c r="G6" s="21"/>
      <x:c r="H6" s="21"/>
      <x:c r="I6" s="21" t="str">
        <x:f>IF(A6="","",COUNTIF($A$5:$A$504,A6)&gt;1)</x:f>
      </x:c>
      <x:c r="J6" s="21" t="str">
        <x:f>IF(B6="","",COUNTIF('任务记录'!$A$5:$A$104,B6)=1)</x:f>
      </x:c>
      <x:c r="K6" s="21" t="str">
        <x:f>IF(B6="","",COUNTIFS($B$5:$B$504,B6,$E$5:$E$504,"true"))</x:f>
      </x:c>
      <x:c r="L6" s="21" t="str">
        <x:f>IF(A6="","",AND(I6=FALSE,J6=TRUE,K6&lt;=1))</x:f>
      </x:c>
    </x:row>
    <x:row r="7">
      <x:c r="A7" s="21"/>
      <x:c r="B7" s="21"/>
      <x:c r="C7" s="21"/>
      <x:c r="D7" s="21"/>
      <x:c r="E7" s="21"/>
      <x:c r="F7" s="21"/>
      <x:c r="G7" s="21"/>
      <x:c r="H7" s="21"/>
      <x:c r="I7" s="21" t="str">
        <x:f>IF(A7="","",COUNTIF($A$5:$A$504,A7)&gt;1)</x:f>
      </x:c>
      <x:c r="J7" s="21" t="str">
        <x:f>IF(B7="","",COUNTIF('任务记录'!$A$5:$A$104,B7)=1)</x:f>
      </x:c>
      <x:c r="K7" s="21" t="str">
        <x:f>IF(B7="","",COUNTIFS($B$5:$B$504,B7,$E$5:$E$504,"true"))</x:f>
      </x:c>
      <x:c r="L7" s="21" t="str">
        <x:f>IF(A7="","",AND(I7=FALSE,J7=TRUE,K7&lt;=1))</x:f>
      </x:c>
    </x:row>
    <x:row r="8">
      <x:c r="A8" s="21"/>
      <x:c r="B8" s="21"/>
      <x:c r="C8" s="21"/>
      <x:c r="D8" s="21"/>
      <x:c r="E8" s="21"/>
      <x:c r="F8" s="21"/>
      <x:c r="G8" s="21"/>
      <x:c r="H8" s="21"/>
      <x:c r="I8" s="21" t="str">
        <x:f>IF(A8="","",COUNTIF($A$5:$A$504,A8)&gt;1)</x:f>
      </x:c>
      <x:c r="J8" s="21" t="str">
        <x:f>IF(B8="","",COUNTIF('任务记录'!$A$5:$A$104,B8)=1)</x:f>
      </x:c>
      <x:c r="K8" s="21" t="str">
        <x:f>IF(B8="","",COUNTIFS($B$5:$B$504,B8,$E$5:$E$504,"true"))</x:f>
      </x:c>
      <x:c r="L8" s="21" t="str">
        <x:f>IF(A8="","",AND(I8=FALSE,J8=TRUE,K8&lt;=1))</x:f>
      </x:c>
    </x:row>
    <x:row r="9">
      <x:c r="A9" s="21"/>
      <x:c r="B9" s="21"/>
      <x:c r="C9" s="21"/>
      <x:c r="D9" s="21"/>
      <x:c r="E9" s="21"/>
      <x:c r="F9" s="21"/>
      <x:c r="G9" s="21"/>
      <x:c r="H9" s="21"/>
      <x:c r="I9" s="21" t="str">
        <x:f>IF(A9="","",COUNTIF($A$5:$A$504,A9)&gt;1)</x:f>
      </x:c>
      <x:c r="J9" s="21" t="str">
        <x:f>IF(B9="","",COUNTIF('任务记录'!$A$5:$A$104,B9)=1)</x:f>
      </x:c>
      <x:c r="K9" s="21" t="str">
        <x:f>IF(B9="","",COUNTIFS($B$5:$B$504,B9,$E$5:$E$504,"true"))</x:f>
      </x:c>
      <x:c r="L9" s="21" t="str">
        <x:f>IF(A9="","",AND(I9=FALSE,J9=TRUE,K9&lt;=1))</x:f>
      </x:c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 t="str">
        <x:f>IF(A10="","",COUNTIF($A$5:$A$504,A10)&gt;1)</x:f>
      </x:c>
      <x:c r="J10" s="21" t="str">
        <x:f>IF(B10="","",COUNTIF('任务记录'!$A$5:$A$104,B10)=1)</x:f>
      </x:c>
      <x:c r="K10" s="21" t="str">
        <x:f>IF(B10="","",COUNTIFS($B$5:$B$504,B10,$E$5:$E$504,"true"))</x:f>
      </x:c>
      <x:c r="L10" s="21" t="str">
        <x:f>IF(A10="","",AND(I10=FALSE,J10=TRUE,K10&lt;=1))</x:f>
      </x:c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 t="str">
        <x:f>IF(A11="","",COUNTIF($A$5:$A$504,A11)&gt;1)</x:f>
      </x:c>
      <x:c r="J11" s="21" t="str">
        <x:f>IF(B11="","",COUNTIF('任务记录'!$A$5:$A$104,B11)=1)</x:f>
      </x:c>
      <x:c r="K11" s="21" t="str">
        <x:f>IF(B11="","",COUNTIFS($B$5:$B$504,B11,$E$5:$E$504,"true"))</x:f>
      </x:c>
      <x:c r="L11" s="21" t="str">
        <x:f>IF(A11="","",AND(I11=FALSE,J11=TRUE,K11&lt;=1))</x:f>
      </x:c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 t="str">
        <x:f>IF(A12="","",COUNTIF($A$5:$A$504,A12)&gt;1)</x:f>
      </x:c>
      <x:c r="J12" s="21" t="str">
        <x:f>IF(B12="","",COUNTIF('任务记录'!$A$5:$A$104,B12)=1)</x:f>
      </x:c>
      <x:c r="K12" s="21" t="str">
        <x:f>IF(B12="","",COUNTIFS($B$5:$B$504,B12,$E$5:$E$504,"true"))</x:f>
      </x:c>
      <x:c r="L12" s="21" t="str">
        <x:f>IF(A12="","",AND(I12=FALSE,J12=TRUE,K12&lt;=1))</x:f>
      </x:c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 t="str">
        <x:f>IF(A13="","",COUNTIF($A$5:$A$504,A13)&gt;1)</x:f>
      </x:c>
      <x:c r="J13" s="21" t="str">
        <x:f>IF(B13="","",COUNTIF('任务记录'!$A$5:$A$104,B13)=1)</x:f>
      </x:c>
      <x:c r="K13" s="21" t="str">
        <x:f>IF(B13="","",COUNTIFS($B$5:$B$504,B13,$E$5:$E$504,"true"))</x:f>
      </x:c>
      <x:c r="L13" s="21" t="str">
        <x:f>IF(A13="","",AND(I13=FALSE,J13=TRUE,K13&lt;=1))</x:f>
      </x:c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 t="str">
        <x:f>IF(A14="","",COUNTIF($A$5:$A$504,A14)&gt;1)</x:f>
      </x:c>
      <x:c r="J14" s="21" t="str">
        <x:f>IF(B14="","",COUNTIF('任务记录'!$A$5:$A$104,B14)=1)</x:f>
      </x:c>
      <x:c r="K14" s="21" t="str">
        <x:f>IF(B14="","",COUNTIFS($B$5:$B$504,B14,$E$5:$E$504,"true"))</x:f>
      </x:c>
      <x:c r="L14" s="21" t="str">
        <x:f>IF(A14="","",AND(I14=FALSE,J14=TRUE,K14&lt;=1))</x:f>
      </x:c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 t="str">
        <x:f>IF(A15="","",COUNTIF($A$5:$A$504,A15)&gt;1)</x:f>
      </x:c>
      <x:c r="J15" s="21" t="str">
        <x:f>IF(B15="","",COUNTIF('任务记录'!$A$5:$A$104,B15)=1)</x:f>
      </x:c>
      <x:c r="K15" s="21" t="str">
        <x:f>IF(B15="","",COUNTIFS($B$5:$B$504,B15,$E$5:$E$504,"true"))</x:f>
      </x:c>
      <x:c r="L15" s="21" t="str">
        <x:f>IF(A15="","",AND(I15=FALSE,J15=TRUE,K15&lt;=1))</x:f>
      </x:c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 t="str">
        <x:f>IF(A16="","",COUNTIF($A$5:$A$504,A16)&gt;1)</x:f>
      </x:c>
      <x:c r="J16" s="21" t="str">
        <x:f>IF(B16="","",COUNTIF('任务记录'!$A$5:$A$104,B16)=1)</x:f>
      </x:c>
      <x:c r="K16" s="21" t="str">
        <x:f>IF(B16="","",COUNTIFS($B$5:$B$504,B16,$E$5:$E$504,"true"))</x:f>
      </x:c>
      <x:c r="L16" s="21" t="str">
        <x:f>IF(A16="","",AND(I16=FALSE,J16=TRUE,K16&lt;=1))</x:f>
      </x:c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 t="str">
        <x:f>IF(A17="","",COUNTIF($A$5:$A$504,A17)&gt;1)</x:f>
      </x:c>
      <x:c r="J17" s="21" t="str">
        <x:f>IF(B17="","",COUNTIF('任务记录'!$A$5:$A$104,B17)=1)</x:f>
      </x:c>
      <x:c r="K17" s="21" t="str">
        <x:f>IF(B17="","",COUNTIFS($B$5:$B$504,B17,$E$5:$E$504,"true"))</x:f>
      </x:c>
      <x:c r="L17" s="21" t="str">
        <x:f>IF(A17="","",AND(I17=FALSE,J17=TRUE,K17&lt;=1))</x:f>
      </x:c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 t="str">
        <x:f>IF(A18="","",COUNTIF($A$5:$A$504,A18)&gt;1)</x:f>
      </x:c>
      <x:c r="J18" s="21" t="str">
        <x:f>IF(B18="","",COUNTIF('任务记录'!$A$5:$A$104,B18)=1)</x:f>
      </x:c>
      <x:c r="K18" s="21" t="str">
        <x:f>IF(B18="","",COUNTIFS($B$5:$B$504,B18,$E$5:$E$504,"true"))</x:f>
      </x:c>
      <x:c r="L18" s="21" t="str">
        <x:f>IF(A18="","",AND(I18=FALSE,J18=TRUE,K18&lt;=1))</x:f>
      </x:c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 t="str">
        <x:f>IF(A19="","",COUNTIF($A$5:$A$504,A19)&gt;1)</x:f>
      </x:c>
      <x:c r="J19" s="21" t="str">
        <x:f>IF(B19="","",COUNTIF('任务记录'!$A$5:$A$104,B19)=1)</x:f>
      </x:c>
      <x:c r="K19" s="21" t="str">
        <x:f>IF(B19="","",COUNTIFS($B$5:$B$504,B19,$E$5:$E$504,"true"))</x:f>
      </x:c>
      <x:c r="L19" s="21" t="str">
        <x:f>IF(A19="","",AND(I19=FALSE,J19=TRUE,K19&lt;=1))</x:f>
      </x:c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 t="str">
        <x:f>IF(A20="","",COUNTIF($A$5:$A$504,A20)&gt;1)</x:f>
      </x:c>
      <x:c r="J20" s="21" t="str">
        <x:f>IF(B20="","",COUNTIF('任务记录'!$A$5:$A$104,B20)=1)</x:f>
      </x:c>
      <x:c r="K20" s="21" t="str">
        <x:f>IF(B20="","",COUNTIFS($B$5:$B$504,B20,$E$5:$E$504,"true"))</x:f>
      </x:c>
      <x:c r="L20" s="21" t="str">
        <x:f>IF(A20="","",AND(I20=FALSE,J20=TRUE,K20&lt;=1))</x:f>
      </x:c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 t="str">
        <x:f>IF(A21="","",COUNTIF($A$5:$A$504,A21)&gt;1)</x:f>
      </x:c>
      <x:c r="J21" s="21" t="str">
        <x:f>IF(B21="","",COUNTIF('任务记录'!$A$5:$A$104,B21)=1)</x:f>
      </x:c>
      <x:c r="K21" s="21" t="str">
        <x:f>IF(B21="","",COUNTIFS($B$5:$B$504,B21,$E$5:$E$504,"true"))</x:f>
      </x:c>
      <x:c r="L21" s="21" t="str">
        <x:f>IF(A21="","",AND(I21=FALSE,J21=TRUE,K21&lt;=1))</x:f>
      </x:c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 t="str">
        <x:f>IF(A22="","",COUNTIF($A$5:$A$504,A22)&gt;1)</x:f>
      </x:c>
      <x:c r="J22" s="21" t="str">
        <x:f>IF(B22="","",COUNTIF('任务记录'!$A$5:$A$104,B22)=1)</x:f>
      </x:c>
      <x:c r="K22" s="21" t="str">
        <x:f>IF(B22="","",COUNTIFS($B$5:$B$504,B22,$E$5:$E$504,"true"))</x:f>
      </x:c>
      <x:c r="L22" s="21" t="str">
        <x:f>IF(A22="","",AND(I22=FALSE,J22=TRUE,K22&lt;=1))</x:f>
      </x:c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 t="str">
        <x:f>IF(A23="","",COUNTIF($A$5:$A$504,A23)&gt;1)</x:f>
      </x:c>
      <x:c r="J23" s="21" t="str">
        <x:f>IF(B23="","",COUNTIF('任务记录'!$A$5:$A$104,B23)=1)</x:f>
      </x:c>
      <x:c r="K23" s="21" t="str">
        <x:f>IF(B23="","",COUNTIFS($B$5:$B$504,B23,$E$5:$E$504,"true"))</x:f>
      </x:c>
      <x:c r="L23" s="21" t="str">
        <x:f>IF(A23="","",AND(I23=FALSE,J23=TRUE,K23&lt;=1))</x:f>
      </x:c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 t="str">
        <x:f>IF(A24="","",COUNTIF($A$5:$A$504,A24)&gt;1)</x:f>
      </x:c>
      <x:c r="J24" s="21" t="str">
        <x:f>IF(B24="","",COUNTIF('任务记录'!$A$5:$A$104,B24)=1)</x:f>
      </x:c>
      <x:c r="K24" s="21" t="str">
        <x:f>IF(B24="","",COUNTIFS($B$5:$B$504,B24,$E$5:$E$504,"true"))</x:f>
      </x:c>
      <x:c r="L24" s="21" t="str">
        <x:f>IF(A24="","",AND(I24=FALSE,J24=TRUE,K24&lt;=1))</x:f>
      </x:c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 t="str">
        <x:f>IF(A25="","",COUNTIF($A$5:$A$504,A25)&gt;1)</x:f>
      </x:c>
      <x:c r="J25" s="21" t="str">
        <x:f>IF(B25="","",COUNTIF('任务记录'!$A$5:$A$104,B25)=1)</x:f>
      </x:c>
      <x:c r="K25" s="21" t="str">
        <x:f>IF(B25="","",COUNTIFS($B$5:$B$504,B25,$E$5:$E$504,"true"))</x:f>
      </x:c>
      <x:c r="L25" s="21" t="str">
        <x:f>IF(A25="","",AND(I25=FALSE,J25=TRUE,K25&lt;=1))</x:f>
      </x:c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 t="str">
        <x:f>IF(A26="","",COUNTIF($A$5:$A$504,A26)&gt;1)</x:f>
      </x:c>
      <x:c r="J26" s="21" t="str">
        <x:f>IF(B26="","",COUNTIF('任务记录'!$A$5:$A$104,B26)=1)</x:f>
      </x:c>
      <x:c r="K26" s="21" t="str">
        <x:f>IF(B26="","",COUNTIFS($B$5:$B$504,B26,$E$5:$E$504,"true"))</x:f>
      </x:c>
      <x:c r="L26" s="21" t="str">
        <x:f>IF(A26="","",AND(I26=FALSE,J26=TRUE,K26&lt;=1))</x:f>
      </x:c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 t="str">
        <x:f>IF(A27="","",COUNTIF($A$5:$A$504,A27)&gt;1)</x:f>
      </x:c>
      <x:c r="J27" s="21" t="str">
        <x:f>IF(B27="","",COUNTIF('任务记录'!$A$5:$A$104,B27)=1)</x:f>
      </x:c>
      <x:c r="K27" s="21" t="str">
        <x:f>IF(B27="","",COUNTIFS($B$5:$B$504,B27,$E$5:$E$504,"true"))</x:f>
      </x:c>
      <x:c r="L27" s="21" t="str">
        <x:f>IF(A27="","",AND(I27=FALSE,J27=TRUE,K27&lt;=1))</x:f>
      </x:c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 t="str">
        <x:f>IF(A28="","",COUNTIF($A$5:$A$504,A28)&gt;1)</x:f>
      </x:c>
      <x:c r="J28" s="21" t="str">
        <x:f>IF(B28="","",COUNTIF('任务记录'!$A$5:$A$104,B28)=1)</x:f>
      </x:c>
      <x:c r="K28" s="21" t="str">
        <x:f>IF(B28="","",COUNTIFS($B$5:$B$504,B28,$E$5:$E$504,"true"))</x:f>
      </x:c>
      <x:c r="L28" s="21" t="str">
        <x:f>IF(A28="","",AND(I28=FALSE,J28=TRUE,K28&lt;=1))</x:f>
      </x:c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 t="str">
        <x:f>IF(A29="","",COUNTIF($A$5:$A$504,A29)&gt;1)</x:f>
      </x:c>
      <x:c r="J29" s="21" t="str">
        <x:f>IF(B29="","",COUNTIF('任务记录'!$A$5:$A$104,B29)=1)</x:f>
      </x:c>
      <x:c r="K29" s="21" t="str">
        <x:f>IF(B29="","",COUNTIFS($B$5:$B$504,B29,$E$5:$E$504,"true"))</x:f>
      </x:c>
      <x:c r="L29" s="21" t="str">
        <x:f>IF(A29="","",AND(I29=FALSE,J29=TRUE,K29&lt;=1))</x:f>
      </x:c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 t="str">
        <x:f>IF(A30="","",COUNTIF($A$5:$A$504,A30)&gt;1)</x:f>
      </x:c>
      <x:c r="J30" s="21" t="str">
        <x:f>IF(B30="","",COUNTIF('任务记录'!$A$5:$A$104,B30)=1)</x:f>
      </x:c>
      <x:c r="K30" s="21" t="str">
        <x:f>IF(B30="","",COUNTIFS($B$5:$B$504,B30,$E$5:$E$504,"true"))</x:f>
      </x:c>
      <x:c r="L30" s="21" t="str">
        <x:f>IF(A30="","",AND(I30=FALSE,J30=TRUE,K30&lt;=1))</x:f>
      </x:c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 t="str">
        <x:f>IF(A31="","",COUNTIF($A$5:$A$504,A31)&gt;1)</x:f>
      </x:c>
      <x:c r="J31" s="21" t="str">
        <x:f>IF(B31="","",COUNTIF('任务记录'!$A$5:$A$104,B31)=1)</x:f>
      </x:c>
      <x:c r="K31" s="21" t="str">
        <x:f>IF(B31="","",COUNTIFS($B$5:$B$504,B31,$E$5:$E$504,"true"))</x:f>
      </x:c>
      <x:c r="L31" s="21" t="str">
        <x:f>IF(A31="","",AND(I31=FALSE,J31=TRUE,K31&lt;=1))</x:f>
      </x:c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 t="str">
        <x:f>IF(A32="","",COUNTIF($A$5:$A$504,A32)&gt;1)</x:f>
      </x:c>
      <x:c r="J32" s="21" t="str">
        <x:f>IF(B32="","",COUNTIF('任务记录'!$A$5:$A$104,B32)=1)</x:f>
      </x:c>
      <x:c r="K32" s="21" t="str">
        <x:f>IF(B32="","",COUNTIFS($B$5:$B$504,B32,$E$5:$E$504,"true"))</x:f>
      </x:c>
      <x:c r="L32" s="21" t="str">
        <x:f>IF(A32="","",AND(I32=FALSE,J32=TRUE,K32&lt;=1))</x:f>
      </x:c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 t="str">
        <x:f>IF(A33="","",COUNTIF($A$5:$A$504,A33)&gt;1)</x:f>
      </x:c>
      <x:c r="J33" s="21" t="str">
        <x:f>IF(B33="","",COUNTIF('任务记录'!$A$5:$A$104,B33)=1)</x:f>
      </x:c>
      <x:c r="K33" s="21" t="str">
        <x:f>IF(B33="","",COUNTIFS($B$5:$B$504,B33,$E$5:$E$504,"true"))</x:f>
      </x:c>
      <x:c r="L33" s="21" t="str">
        <x:f>IF(A33="","",AND(I33=FALSE,J33=TRUE,K33&lt;=1))</x:f>
      </x:c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 t="str">
        <x:f>IF(A34="","",COUNTIF($A$5:$A$504,A34)&gt;1)</x:f>
      </x:c>
      <x:c r="J34" s="21" t="str">
        <x:f>IF(B34="","",COUNTIF('任务记录'!$A$5:$A$104,B34)=1)</x:f>
      </x:c>
      <x:c r="K34" s="21" t="str">
        <x:f>IF(B34="","",COUNTIFS($B$5:$B$504,B34,$E$5:$E$504,"true"))</x:f>
      </x:c>
      <x:c r="L34" s="21" t="str">
        <x:f>IF(A34="","",AND(I34=FALSE,J34=TRUE,K34&lt;=1))</x:f>
      </x:c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 t="str">
        <x:f>IF(A35="","",COUNTIF($A$5:$A$504,A35)&gt;1)</x:f>
      </x:c>
      <x:c r="J35" s="21" t="str">
        <x:f>IF(B35="","",COUNTIF('任务记录'!$A$5:$A$104,B35)=1)</x:f>
      </x:c>
      <x:c r="K35" s="21" t="str">
        <x:f>IF(B35="","",COUNTIFS($B$5:$B$504,B35,$E$5:$E$504,"true"))</x:f>
      </x:c>
      <x:c r="L35" s="21" t="str">
        <x:f>IF(A35="","",AND(I35=FALSE,J35=TRUE,K35&lt;=1))</x:f>
      </x:c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 t="str">
        <x:f>IF(A36="","",COUNTIF($A$5:$A$504,A36)&gt;1)</x:f>
      </x:c>
      <x:c r="J36" s="21" t="str">
        <x:f>IF(B36="","",COUNTIF('任务记录'!$A$5:$A$104,B36)=1)</x:f>
      </x:c>
      <x:c r="K36" s="21" t="str">
        <x:f>IF(B36="","",COUNTIFS($B$5:$B$504,B36,$E$5:$E$504,"true"))</x:f>
      </x:c>
      <x:c r="L36" s="21" t="str">
        <x:f>IF(A36="","",AND(I36=FALSE,J36=TRUE,K36&lt;=1))</x:f>
      </x:c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 t="str">
        <x:f>IF(A37="","",COUNTIF($A$5:$A$504,A37)&gt;1)</x:f>
      </x:c>
      <x:c r="J37" s="21" t="str">
        <x:f>IF(B37="","",COUNTIF('任务记录'!$A$5:$A$104,B37)=1)</x:f>
      </x:c>
      <x:c r="K37" s="21" t="str">
        <x:f>IF(B37="","",COUNTIFS($B$5:$B$504,B37,$E$5:$E$504,"true"))</x:f>
      </x:c>
      <x:c r="L37" s="21" t="str">
        <x:f>IF(A37="","",AND(I37=FALSE,J37=TRUE,K37&lt;=1))</x:f>
      </x:c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 t="str">
        <x:f>IF(A38="","",COUNTIF($A$5:$A$504,A38)&gt;1)</x:f>
      </x:c>
      <x:c r="J38" s="21" t="str">
        <x:f>IF(B38="","",COUNTIF('任务记录'!$A$5:$A$104,B38)=1)</x:f>
      </x:c>
      <x:c r="K38" s="21" t="str">
        <x:f>IF(B38="","",COUNTIFS($B$5:$B$504,B38,$E$5:$E$504,"true"))</x:f>
      </x:c>
      <x:c r="L38" s="21" t="str">
        <x:f>IF(A38="","",AND(I38=FALSE,J38=TRUE,K38&lt;=1))</x:f>
      </x:c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 t="str">
        <x:f>IF(A39="","",COUNTIF($A$5:$A$504,A39)&gt;1)</x:f>
      </x:c>
      <x:c r="J39" s="21" t="str">
        <x:f>IF(B39="","",COUNTIF('任务记录'!$A$5:$A$104,B39)=1)</x:f>
      </x:c>
      <x:c r="K39" s="21" t="str">
        <x:f>IF(B39="","",COUNTIFS($B$5:$B$504,B39,$E$5:$E$504,"true"))</x:f>
      </x:c>
      <x:c r="L39" s="21" t="str">
        <x:f>IF(A39="","",AND(I39=FALSE,J39=TRUE,K39&lt;=1))</x:f>
      </x:c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 t="str">
        <x:f>IF(A40="","",COUNTIF($A$5:$A$504,A40)&gt;1)</x:f>
      </x:c>
      <x:c r="J40" s="21" t="str">
        <x:f>IF(B40="","",COUNTIF('任务记录'!$A$5:$A$104,B40)=1)</x:f>
      </x:c>
      <x:c r="K40" s="21" t="str">
        <x:f>IF(B40="","",COUNTIFS($B$5:$B$504,B40,$E$5:$E$504,"true"))</x:f>
      </x:c>
      <x:c r="L40" s="21" t="str">
        <x:f>IF(A40="","",AND(I40=FALSE,J40=TRUE,K40&lt;=1))</x:f>
      </x:c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 t="str">
        <x:f>IF(A41="","",COUNTIF($A$5:$A$504,A41)&gt;1)</x:f>
      </x:c>
      <x:c r="J41" s="21" t="str">
        <x:f>IF(B41="","",COUNTIF('任务记录'!$A$5:$A$104,B41)=1)</x:f>
      </x:c>
      <x:c r="K41" s="21" t="str">
        <x:f>IF(B41="","",COUNTIFS($B$5:$B$504,B41,$E$5:$E$504,"true"))</x:f>
      </x:c>
      <x:c r="L41" s="21" t="str">
        <x:f>IF(A41="","",AND(I41=FALSE,J41=TRUE,K41&lt;=1))</x:f>
      </x:c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 t="str">
        <x:f>IF(A42="","",COUNTIF($A$5:$A$504,A42)&gt;1)</x:f>
      </x:c>
      <x:c r="J42" s="21" t="str">
        <x:f>IF(B42="","",COUNTIF('任务记录'!$A$5:$A$104,B42)=1)</x:f>
      </x:c>
      <x:c r="K42" s="21" t="str">
        <x:f>IF(B42="","",COUNTIFS($B$5:$B$504,B42,$E$5:$E$504,"true"))</x:f>
      </x:c>
      <x:c r="L42" s="21" t="str">
        <x:f>IF(A42="","",AND(I42=FALSE,J42=TRUE,K42&lt;=1))</x:f>
      </x:c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 t="str">
        <x:f>IF(A43="","",COUNTIF($A$5:$A$504,A43)&gt;1)</x:f>
      </x:c>
      <x:c r="J43" s="21" t="str">
        <x:f>IF(B43="","",COUNTIF('任务记录'!$A$5:$A$104,B43)=1)</x:f>
      </x:c>
      <x:c r="K43" s="21" t="str">
        <x:f>IF(B43="","",COUNTIFS($B$5:$B$504,B43,$E$5:$E$504,"true"))</x:f>
      </x:c>
      <x:c r="L43" s="21" t="str">
        <x:f>IF(A43="","",AND(I43=FALSE,J43=TRUE,K43&lt;=1))</x:f>
      </x:c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 t="str">
        <x:f>IF(A44="","",COUNTIF($A$5:$A$504,A44)&gt;1)</x:f>
      </x:c>
      <x:c r="J44" s="21" t="str">
        <x:f>IF(B44="","",COUNTIF('任务记录'!$A$5:$A$104,B44)=1)</x:f>
      </x:c>
      <x:c r="K44" s="21" t="str">
        <x:f>IF(B44="","",COUNTIFS($B$5:$B$504,B44,$E$5:$E$504,"true"))</x:f>
      </x:c>
      <x:c r="L44" s="21" t="str">
        <x:f>IF(A44="","",AND(I44=FALSE,J44=TRUE,K44&lt;=1))</x:f>
      </x:c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 t="str">
        <x:f>IF(A45="","",COUNTIF($A$5:$A$504,A45)&gt;1)</x:f>
      </x:c>
      <x:c r="J45" s="21" t="str">
        <x:f>IF(B45="","",COUNTIF('任务记录'!$A$5:$A$104,B45)=1)</x:f>
      </x:c>
      <x:c r="K45" s="21" t="str">
        <x:f>IF(B45="","",COUNTIFS($B$5:$B$504,B45,$E$5:$E$504,"true"))</x:f>
      </x:c>
      <x:c r="L45" s="21" t="str">
        <x:f>IF(A45="","",AND(I45=FALSE,J45=TRUE,K45&lt;=1))</x:f>
      </x:c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 t="str">
        <x:f>IF(A46="","",COUNTIF($A$5:$A$504,A46)&gt;1)</x:f>
      </x:c>
      <x:c r="J46" s="21" t="str">
        <x:f>IF(B46="","",COUNTIF('任务记录'!$A$5:$A$104,B46)=1)</x:f>
      </x:c>
      <x:c r="K46" s="21" t="str">
        <x:f>IF(B46="","",COUNTIFS($B$5:$B$504,B46,$E$5:$E$504,"true"))</x:f>
      </x:c>
      <x:c r="L46" s="21" t="str">
        <x:f>IF(A46="","",AND(I46=FALSE,J46=TRUE,K46&lt;=1))</x:f>
      </x:c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 t="str">
        <x:f>IF(A47="","",COUNTIF($A$5:$A$504,A47)&gt;1)</x:f>
      </x:c>
      <x:c r="J47" s="21" t="str">
        <x:f>IF(B47="","",COUNTIF('任务记录'!$A$5:$A$104,B47)=1)</x:f>
      </x:c>
      <x:c r="K47" s="21" t="str">
        <x:f>IF(B47="","",COUNTIFS($B$5:$B$504,B47,$E$5:$E$504,"true"))</x:f>
      </x:c>
      <x:c r="L47" s="21" t="str">
        <x:f>IF(A47="","",AND(I47=FALSE,J47=TRUE,K47&lt;=1))</x:f>
      </x:c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 t="str">
        <x:f>IF(A48="","",COUNTIF($A$5:$A$504,A48)&gt;1)</x:f>
      </x:c>
      <x:c r="J48" s="21" t="str">
        <x:f>IF(B48="","",COUNTIF('任务记录'!$A$5:$A$104,B48)=1)</x:f>
      </x:c>
      <x:c r="K48" s="21" t="str">
        <x:f>IF(B48="","",COUNTIFS($B$5:$B$504,B48,$E$5:$E$504,"true"))</x:f>
      </x:c>
      <x:c r="L48" s="21" t="str">
        <x:f>IF(A48="","",AND(I48=FALSE,J48=TRUE,K48&lt;=1))</x:f>
      </x:c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 t="str">
        <x:f>IF(A49="","",COUNTIF($A$5:$A$504,A49)&gt;1)</x:f>
      </x:c>
      <x:c r="J49" s="21" t="str">
        <x:f>IF(B49="","",COUNTIF('任务记录'!$A$5:$A$104,B49)=1)</x:f>
      </x:c>
      <x:c r="K49" s="21" t="str">
        <x:f>IF(B49="","",COUNTIFS($B$5:$B$504,B49,$E$5:$E$504,"true"))</x:f>
      </x:c>
      <x:c r="L49" s="21" t="str">
        <x:f>IF(A49="","",AND(I49=FALSE,J49=TRUE,K49&lt;=1))</x:f>
      </x:c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 t="str">
        <x:f>IF(A50="","",COUNTIF($A$5:$A$504,A50)&gt;1)</x:f>
      </x:c>
      <x:c r="J50" s="21" t="str">
        <x:f>IF(B50="","",COUNTIF('任务记录'!$A$5:$A$104,B50)=1)</x:f>
      </x:c>
      <x:c r="K50" s="21" t="str">
        <x:f>IF(B50="","",COUNTIFS($B$5:$B$504,B50,$E$5:$E$504,"true"))</x:f>
      </x:c>
      <x:c r="L50" s="21" t="str">
        <x:f>IF(A50="","",AND(I50=FALSE,J50=TRUE,K50&lt;=1))</x:f>
      </x:c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 t="str">
        <x:f>IF(A51="","",COUNTIF($A$5:$A$504,A51)&gt;1)</x:f>
      </x:c>
      <x:c r="J51" s="21" t="str">
        <x:f>IF(B51="","",COUNTIF('任务记录'!$A$5:$A$104,B51)=1)</x:f>
      </x:c>
      <x:c r="K51" s="21" t="str">
        <x:f>IF(B51="","",COUNTIFS($B$5:$B$504,B51,$E$5:$E$504,"true"))</x:f>
      </x:c>
      <x:c r="L51" s="21" t="str">
        <x:f>IF(A51="","",AND(I51=FALSE,J51=TRUE,K51&lt;=1))</x:f>
      </x:c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 t="str">
        <x:f>IF(A52="","",COUNTIF($A$5:$A$504,A52)&gt;1)</x:f>
      </x:c>
      <x:c r="J52" s="21" t="str">
        <x:f>IF(B52="","",COUNTIF('任务记录'!$A$5:$A$104,B52)=1)</x:f>
      </x:c>
      <x:c r="K52" s="21" t="str">
        <x:f>IF(B52="","",COUNTIFS($B$5:$B$504,B52,$E$5:$E$504,"true"))</x:f>
      </x:c>
      <x:c r="L52" s="21" t="str">
        <x:f>IF(A52="","",AND(I52=FALSE,J52=TRUE,K52&lt;=1))</x:f>
      </x:c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 t="str">
        <x:f>IF(A53="","",COUNTIF($A$5:$A$504,A53)&gt;1)</x:f>
      </x:c>
      <x:c r="J53" s="21" t="str">
        <x:f>IF(B53="","",COUNTIF('任务记录'!$A$5:$A$104,B53)=1)</x:f>
      </x:c>
      <x:c r="K53" s="21" t="str">
        <x:f>IF(B53="","",COUNTIFS($B$5:$B$504,B53,$E$5:$E$504,"true"))</x:f>
      </x:c>
      <x:c r="L53" s="21" t="str">
        <x:f>IF(A53="","",AND(I53=FALSE,J53=TRUE,K53&lt;=1))</x:f>
      </x:c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 t="str">
        <x:f>IF(A54="","",COUNTIF($A$5:$A$504,A54)&gt;1)</x:f>
      </x:c>
      <x:c r="J54" s="21" t="str">
        <x:f>IF(B54="","",COUNTIF('任务记录'!$A$5:$A$104,B54)=1)</x:f>
      </x:c>
      <x:c r="K54" s="21" t="str">
        <x:f>IF(B54="","",COUNTIFS($B$5:$B$504,B54,$E$5:$E$504,"true"))</x:f>
      </x:c>
      <x:c r="L54" s="21" t="str">
        <x:f>IF(A54="","",AND(I54=FALSE,J54=TRUE,K54&lt;=1))</x:f>
      </x:c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 t="str">
        <x:f>IF(A55="","",COUNTIF($A$5:$A$504,A55)&gt;1)</x:f>
      </x:c>
      <x:c r="J55" s="21" t="str">
        <x:f>IF(B55="","",COUNTIF('任务记录'!$A$5:$A$104,B55)=1)</x:f>
      </x:c>
      <x:c r="K55" s="21" t="str">
        <x:f>IF(B55="","",COUNTIFS($B$5:$B$504,B55,$E$5:$E$504,"true"))</x:f>
      </x:c>
      <x:c r="L55" s="21" t="str">
        <x:f>IF(A55="","",AND(I55=FALSE,J55=TRUE,K55&lt;=1))</x:f>
      </x:c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 t="str">
        <x:f>IF(A56="","",COUNTIF($A$5:$A$504,A56)&gt;1)</x:f>
      </x:c>
      <x:c r="J56" s="21" t="str">
        <x:f>IF(B56="","",COUNTIF('任务记录'!$A$5:$A$104,B56)=1)</x:f>
      </x:c>
      <x:c r="K56" s="21" t="str">
        <x:f>IF(B56="","",COUNTIFS($B$5:$B$504,B56,$E$5:$E$504,"true"))</x:f>
      </x:c>
      <x:c r="L56" s="21" t="str">
        <x:f>IF(A56="","",AND(I56=FALSE,J56=TRUE,K56&lt;=1))</x:f>
      </x:c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 t="str">
        <x:f>IF(A57="","",COUNTIF($A$5:$A$504,A57)&gt;1)</x:f>
      </x:c>
      <x:c r="J57" s="21" t="str">
        <x:f>IF(B57="","",COUNTIF('任务记录'!$A$5:$A$104,B57)=1)</x:f>
      </x:c>
      <x:c r="K57" s="21" t="str">
        <x:f>IF(B57="","",COUNTIFS($B$5:$B$504,B57,$E$5:$E$504,"true"))</x:f>
      </x:c>
      <x:c r="L57" s="21" t="str">
        <x:f>IF(A57="","",AND(I57=FALSE,J57=TRUE,K57&lt;=1))</x:f>
      </x:c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 t="str">
        <x:f>IF(A58="","",COUNTIF($A$5:$A$504,A58)&gt;1)</x:f>
      </x:c>
      <x:c r="J58" s="21" t="str">
        <x:f>IF(B58="","",COUNTIF('任务记录'!$A$5:$A$104,B58)=1)</x:f>
      </x:c>
      <x:c r="K58" s="21" t="str">
        <x:f>IF(B58="","",COUNTIFS($B$5:$B$504,B58,$E$5:$E$504,"true"))</x:f>
      </x:c>
      <x:c r="L58" s="21" t="str">
        <x:f>IF(A58="","",AND(I58=FALSE,J58=TRUE,K58&lt;=1))</x:f>
      </x:c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 t="str">
        <x:f>IF(A59="","",COUNTIF($A$5:$A$504,A59)&gt;1)</x:f>
      </x:c>
      <x:c r="J59" s="21" t="str">
        <x:f>IF(B59="","",COUNTIF('任务记录'!$A$5:$A$104,B59)=1)</x:f>
      </x:c>
      <x:c r="K59" s="21" t="str">
        <x:f>IF(B59="","",COUNTIFS($B$5:$B$504,B59,$E$5:$E$504,"true"))</x:f>
      </x:c>
      <x:c r="L59" s="21" t="str">
        <x:f>IF(A59="","",AND(I59=FALSE,J59=TRUE,K59&lt;=1))</x:f>
      </x:c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 t="str">
        <x:f>IF(A60="","",COUNTIF($A$5:$A$504,A60)&gt;1)</x:f>
      </x:c>
      <x:c r="J60" s="21" t="str">
        <x:f>IF(B60="","",COUNTIF('任务记录'!$A$5:$A$104,B60)=1)</x:f>
      </x:c>
      <x:c r="K60" s="21" t="str">
        <x:f>IF(B60="","",COUNTIFS($B$5:$B$504,B60,$E$5:$E$504,"true"))</x:f>
      </x:c>
      <x:c r="L60" s="21" t="str">
        <x:f>IF(A60="","",AND(I60=FALSE,J60=TRUE,K60&lt;=1))</x:f>
      </x:c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 t="str">
        <x:f>IF(A61="","",COUNTIF($A$5:$A$504,A61)&gt;1)</x:f>
      </x:c>
      <x:c r="J61" s="21" t="str">
        <x:f>IF(B61="","",COUNTIF('任务记录'!$A$5:$A$104,B61)=1)</x:f>
      </x:c>
      <x:c r="K61" s="21" t="str">
        <x:f>IF(B61="","",COUNTIFS($B$5:$B$504,B61,$E$5:$E$504,"true"))</x:f>
      </x:c>
      <x:c r="L61" s="21" t="str">
        <x:f>IF(A61="","",AND(I61=FALSE,J61=TRUE,K61&lt;=1))</x:f>
      </x:c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 t="str">
        <x:f>IF(A62="","",COUNTIF($A$5:$A$504,A62)&gt;1)</x:f>
      </x:c>
      <x:c r="J62" s="21" t="str">
        <x:f>IF(B62="","",COUNTIF('任务记录'!$A$5:$A$104,B62)=1)</x:f>
      </x:c>
      <x:c r="K62" s="21" t="str">
        <x:f>IF(B62="","",COUNTIFS($B$5:$B$504,B62,$E$5:$E$504,"true"))</x:f>
      </x:c>
      <x:c r="L62" s="21" t="str">
        <x:f>IF(A62="","",AND(I62=FALSE,J62=TRUE,K62&lt;=1))</x:f>
      </x:c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 t="str">
        <x:f>IF(A63="","",COUNTIF($A$5:$A$504,A63)&gt;1)</x:f>
      </x:c>
      <x:c r="J63" s="21" t="str">
        <x:f>IF(B63="","",COUNTIF('任务记录'!$A$5:$A$104,B63)=1)</x:f>
      </x:c>
      <x:c r="K63" s="21" t="str">
        <x:f>IF(B63="","",COUNTIFS($B$5:$B$504,B63,$E$5:$E$504,"true"))</x:f>
      </x:c>
      <x:c r="L63" s="21" t="str">
        <x:f>IF(A63="","",AND(I63=FALSE,J63=TRUE,K63&lt;=1))</x:f>
      </x:c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 t="str">
        <x:f>IF(A64="","",COUNTIF($A$5:$A$504,A64)&gt;1)</x:f>
      </x:c>
      <x:c r="J64" s="21" t="str">
        <x:f>IF(B64="","",COUNTIF('任务记录'!$A$5:$A$104,B64)=1)</x:f>
      </x:c>
      <x:c r="K64" s="21" t="str">
        <x:f>IF(B64="","",COUNTIFS($B$5:$B$504,B64,$E$5:$E$504,"true"))</x:f>
      </x:c>
      <x:c r="L64" s="21" t="str">
        <x:f>IF(A64="","",AND(I64=FALSE,J64=TRUE,K64&lt;=1))</x:f>
      </x:c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 t="str">
        <x:f>IF(A65="","",COUNTIF($A$5:$A$504,A65)&gt;1)</x:f>
      </x:c>
      <x:c r="J65" s="21" t="str">
        <x:f>IF(B65="","",COUNTIF('任务记录'!$A$5:$A$104,B65)=1)</x:f>
      </x:c>
      <x:c r="K65" s="21" t="str">
        <x:f>IF(B65="","",COUNTIFS($B$5:$B$504,B65,$E$5:$E$504,"true"))</x:f>
      </x:c>
      <x:c r="L65" s="21" t="str">
        <x:f>IF(A65="","",AND(I65=FALSE,J65=TRUE,K65&lt;=1))</x:f>
      </x:c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 t="str">
        <x:f>IF(A66="","",COUNTIF($A$5:$A$504,A66)&gt;1)</x:f>
      </x:c>
      <x:c r="J66" s="21" t="str">
        <x:f>IF(B66="","",COUNTIF('任务记录'!$A$5:$A$104,B66)=1)</x:f>
      </x:c>
      <x:c r="K66" s="21" t="str">
        <x:f>IF(B66="","",COUNTIFS($B$5:$B$504,B66,$E$5:$E$504,"true"))</x:f>
      </x:c>
      <x:c r="L66" s="21" t="str">
        <x:f>IF(A66="","",AND(I66=FALSE,J66=TRUE,K66&lt;=1))</x:f>
      </x:c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 t="str">
        <x:f>IF(A67="","",COUNTIF($A$5:$A$504,A67)&gt;1)</x:f>
      </x:c>
      <x:c r="J67" s="21" t="str">
        <x:f>IF(B67="","",COUNTIF('任务记录'!$A$5:$A$104,B67)=1)</x:f>
      </x:c>
      <x:c r="K67" s="21" t="str">
        <x:f>IF(B67="","",COUNTIFS($B$5:$B$504,B67,$E$5:$E$504,"true"))</x:f>
      </x:c>
      <x:c r="L67" s="21" t="str">
        <x:f>IF(A67="","",AND(I67=FALSE,J67=TRUE,K67&lt;=1))</x:f>
      </x:c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 t="str">
        <x:f>IF(A68="","",COUNTIF($A$5:$A$504,A68)&gt;1)</x:f>
      </x:c>
      <x:c r="J68" s="21" t="str">
        <x:f>IF(B68="","",COUNTIF('任务记录'!$A$5:$A$104,B68)=1)</x:f>
      </x:c>
      <x:c r="K68" s="21" t="str">
        <x:f>IF(B68="","",COUNTIFS($B$5:$B$504,B68,$E$5:$E$504,"true"))</x:f>
      </x:c>
      <x:c r="L68" s="21" t="str">
        <x:f>IF(A68="","",AND(I68=FALSE,J68=TRUE,K68&lt;=1))</x:f>
      </x:c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 t="str">
        <x:f>IF(A69="","",COUNTIF($A$5:$A$504,A69)&gt;1)</x:f>
      </x:c>
      <x:c r="J69" s="21" t="str">
        <x:f>IF(B69="","",COUNTIF('任务记录'!$A$5:$A$104,B69)=1)</x:f>
      </x:c>
      <x:c r="K69" s="21" t="str">
        <x:f>IF(B69="","",COUNTIFS($B$5:$B$504,B69,$E$5:$E$504,"true"))</x:f>
      </x:c>
      <x:c r="L69" s="21" t="str">
        <x:f>IF(A69="","",AND(I69=FALSE,J69=TRUE,K69&lt;=1))</x:f>
      </x:c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 t="str">
        <x:f>IF(A70="","",COUNTIF($A$5:$A$504,A70)&gt;1)</x:f>
      </x:c>
      <x:c r="J70" s="21" t="str">
        <x:f>IF(B70="","",COUNTIF('任务记录'!$A$5:$A$104,B70)=1)</x:f>
      </x:c>
      <x:c r="K70" s="21" t="str">
        <x:f>IF(B70="","",COUNTIFS($B$5:$B$504,B70,$E$5:$E$504,"true"))</x:f>
      </x:c>
      <x:c r="L70" s="21" t="str">
        <x:f>IF(A70="","",AND(I70=FALSE,J70=TRUE,K70&lt;=1))</x:f>
      </x:c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 t="str">
        <x:f>IF(A71="","",COUNTIF($A$5:$A$504,A71)&gt;1)</x:f>
      </x:c>
      <x:c r="J71" s="21" t="str">
        <x:f>IF(B71="","",COUNTIF('任务记录'!$A$5:$A$104,B71)=1)</x:f>
      </x:c>
      <x:c r="K71" s="21" t="str">
        <x:f>IF(B71="","",COUNTIFS($B$5:$B$504,B71,$E$5:$E$504,"true"))</x:f>
      </x:c>
      <x:c r="L71" s="21" t="str">
        <x:f>IF(A71="","",AND(I71=FALSE,J71=TRUE,K71&lt;=1))</x:f>
      </x:c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 t="str">
        <x:f>IF(A72="","",COUNTIF($A$5:$A$504,A72)&gt;1)</x:f>
      </x:c>
      <x:c r="J72" s="21" t="str">
        <x:f>IF(B72="","",COUNTIF('任务记录'!$A$5:$A$104,B72)=1)</x:f>
      </x:c>
      <x:c r="K72" s="21" t="str">
        <x:f>IF(B72="","",COUNTIFS($B$5:$B$504,B72,$E$5:$E$504,"true"))</x:f>
      </x:c>
      <x:c r="L72" s="21" t="str">
        <x:f>IF(A72="","",AND(I72=FALSE,J72=TRUE,K72&lt;=1))</x:f>
      </x:c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 t="str">
        <x:f>IF(A73="","",COUNTIF($A$5:$A$504,A73)&gt;1)</x:f>
      </x:c>
      <x:c r="J73" s="21" t="str">
        <x:f>IF(B73="","",COUNTIF('任务记录'!$A$5:$A$104,B73)=1)</x:f>
      </x:c>
      <x:c r="K73" s="21" t="str">
        <x:f>IF(B73="","",COUNTIFS($B$5:$B$504,B73,$E$5:$E$504,"true"))</x:f>
      </x:c>
      <x:c r="L73" s="21" t="str">
        <x:f>IF(A73="","",AND(I73=FALSE,J73=TRUE,K73&lt;=1))</x:f>
      </x:c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 t="str">
        <x:f>IF(A74="","",COUNTIF($A$5:$A$504,A74)&gt;1)</x:f>
      </x:c>
      <x:c r="J74" s="21" t="str">
        <x:f>IF(B74="","",COUNTIF('任务记录'!$A$5:$A$104,B74)=1)</x:f>
      </x:c>
      <x:c r="K74" s="21" t="str">
        <x:f>IF(B74="","",COUNTIFS($B$5:$B$504,B74,$E$5:$E$504,"true"))</x:f>
      </x:c>
      <x:c r="L74" s="21" t="str">
        <x:f>IF(A74="","",AND(I74=FALSE,J74=TRUE,K74&lt;=1))</x:f>
      </x:c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 t="str">
        <x:f>IF(A75="","",COUNTIF($A$5:$A$504,A75)&gt;1)</x:f>
      </x:c>
      <x:c r="J75" s="21" t="str">
        <x:f>IF(B75="","",COUNTIF('任务记录'!$A$5:$A$104,B75)=1)</x:f>
      </x:c>
      <x:c r="K75" s="21" t="str">
        <x:f>IF(B75="","",COUNTIFS($B$5:$B$504,B75,$E$5:$E$504,"true"))</x:f>
      </x:c>
      <x:c r="L75" s="21" t="str">
        <x:f>IF(A75="","",AND(I75=FALSE,J75=TRUE,K75&lt;=1))</x:f>
      </x:c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 t="str">
        <x:f>IF(A76="","",COUNTIF($A$5:$A$504,A76)&gt;1)</x:f>
      </x:c>
      <x:c r="J76" s="21" t="str">
        <x:f>IF(B76="","",COUNTIF('任务记录'!$A$5:$A$104,B76)=1)</x:f>
      </x:c>
      <x:c r="K76" s="21" t="str">
        <x:f>IF(B76="","",COUNTIFS($B$5:$B$504,B76,$E$5:$E$504,"true"))</x:f>
      </x:c>
      <x:c r="L76" s="21" t="str">
        <x:f>IF(A76="","",AND(I76=FALSE,J76=TRUE,K76&lt;=1))</x:f>
      </x:c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 t="str">
        <x:f>IF(A77="","",COUNTIF($A$5:$A$504,A77)&gt;1)</x:f>
      </x:c>
      <x:c r="J77" s="21" t="str">
        <x:f>IF(B77="","",COUNTIF('任务记录'!$A$5:$A$104,B77)=1)</x:f>
      </x:c>
      <x:c r="K77" s="21" t="str">
        <x:f>IF(B77="","",COUNTIFS($B$5:$B$504,B77,$E$5:$E$504,"true"))</x:f>
      </x:c>
      <x:c r="L77" s="21" t="str">
        <x:f>IF(A77="","",AND(I77=FALSE,J77=TRUE,K77&lt;=1))</x:f>
      </x:c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 t="str">
        <x:f>IF(A78="","",COUNTIF($A$5:$A$504,A78)&gt;1)</x:f>
      </x:c>
      <x:c r="J78" s="21" t="str">
        <x:f>IF(B78="","",COUNTIF('任务记录'!$A$5:$A$104,B78)=1)</x:f>
      </x:c>
      <x:c r="K78" s="21" t="str">
        <x:f>IF(B78="","",COUNTIFS($B$5:$B$504,B78,$E$5:$E$504,"true"))</x:f>
      </x:c>
      <x:c r="L78" s="21" t="str">
        <x:f>IF(A78="","",AND(I78=FALSE,J78=TRUE,K78&lt;=1))</x:f>
      </x:c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 t="str">
        <x:f>IF(A79="","",COUNTIF($A$5:$A$504,A79)&gt;1)</x:f>
      </x:c>
      <x:c r="J79" s="21" t="str">
        <x:f>IF(B79="","",COUNTIF('任务记录'!$A$5:$A$104,B79)=1)</x:f>
      </x:c>
      <x:c r="K79" s="21" t="str">
        <x:f>IF(B79="","",COUNTIFS($B$5:$B$504,B79,$E$5:$E$504,"true"))</x:f>
      </x:c>
      <x:c r="L79" s="21" t="str">
        <x:f>IF(A79="","",AND(I79=FALSE,J79=TRUE,K79&lt;=1))</x:f>
      </x:c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 t="str">
        <x:f>IF(A80="","",COUNTIF($A$5:$A$504,A80)&gt;1)</x:f>
      </x:c>
      <x:c r="J80" s="21" t="str">
        <x:f>IF(B80="","",COUNTIF('任务记录'!$A$5:$A$104,B80)=1)</x:f>
      </x:c>
      <x:c r="K80" s="21" t="str">
        <x:f>IF(B80="","",COUNTIFS($B$5:$B$504,B80,$E$5:$E$504,"true"))</x:f>
      </x:c>
      <x:c r="L80" s="21" t="str">
        <x:f>IF(A80="","",AND(I80=FALSE,J80=TRUE,K80&lt;=1))</x:f>
      </x:c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 t="str">
        <x:f>IF(A81="","",COUNTIF($A$5:$A$504,A81)&gt;1)</x:f>
      </x:c>
      <x:c r="J81" s="21" t="str">
        <x:f>IF(B81="","",COUNTIF('任务记录'!$A$5:$A$104,B81)=1)</x:f>
      </x:c>
      <x:c r="K81" s="21" t="str">
        <x:f>IF(B81="","",COUNTIFS($B$5:$B$504,B81,$E$5:$E$504,"true"))</x:f>
      </x:c>
      <x:c r="L81" s="21" t="str">
        <x:f>IF(A81="","",AND(I81=FALSE,J81=TRUE,K81&lt;=1))</x:f>
      </x:c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 t="str">
        <x:f>IF(A82="","",COUNTIF($A$5:$A$504,A82)&gt;1)</x:f>
      </x:c>
      <x:c r="J82" s="21" t="str">
        <x:f>IF(B82="","",COUNTIF('任务记录'!$A$5:$A$104,B82)=1)</x:f>
      </x:c>
      <x:c r="K82" s="21" t="str">
        <x:f>IF(B82="","",COUNTIFS($B$5:$B$504,B82,$E$5:$E$504,"true"))</x:f>
      </x:c>
      <x:c r="L82" s="21" t="str">
        <x:f>IF(A82="","",AND(I82=FALSE,J82=TRUE,K82&lt;=1))</x:f>
      </x:c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 t="str">
        <x:f>IF(A83="","",COUNTIF($A$5:$A$504,A83)&gt;1)</x:f>
      </x:c>
      <x:c r="J83" s="21" t="str">
        <x:f>IF(B83="","",COUNTIF('任务记录'!$A$5:$A$104,B83)=1)</x:f>
      </x:c>
      <x:c r="K83" s="21" t="str">
        <x:f>IF(B83="","",COUNTIFS($B$5:$B$504,B83,$E$5:$E$504,"true"))</x:f>
      </x:c>
      <x:c r="L83" s="21" t="str">
        <x:f>IF(A83="","",AND(I83=FALSE,J83=TRUE,K83&lt;=1))</x:f>
      </x:c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 t="str">
        <x:f>IF(A84="","",COUNTIF($A$5:$A$504,A84)&gt;1)</x:f>
      </x:c>
      <x:c r="J84" s="21" t="str">
        <x:f>IF(B84="","",COUNTIF('任务记录'!$A$5:$A$104,B84)=1)</x:f>
      </x:c>
      <x:c r="K84" s="21" t="str">
        <x:f>IF(B84="","",COUNTIFS($B$5:$B$504,B84,$E$5:$E$504,"true"))</x:f>
      </x:c>
      <x:c r="L84" s="21" t="str">
        <x:f>IF(A84="","",AND(I84=FALSE,J84=TRUE,K84&lt;=1))</x:f>
      </x:c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 t="str">
        <x:f>IF(A85="","",COUNTIF($A$5:$A$504,A85)&gt;1)</x:f>
      </x:c>
      <x:c r="J85" s="21" t="str">
        <x:f>IF(B85="","",COUNTIF('任务记录'!$A$5:$A$104,B85)=1)</x:f>
      </x:c>
      <x:c r="K85" s="21" t="str">
        <x:f>IF(B85="","",COUNTIFS($B$5:$B$504,B85,$E$5:$E$504,"true"))</x:f>
      </x:c>
      <x:c r="L85" s="21" t="str">
        <x:f>IF(A85="","",AND(I85=FALSE,J85=TRUE,K85&lt;=1))</x:f>
      </x:c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 t="str">
        <x:f>IF(A86="","",COUNTIF($A$5:$A$504,A86)&gt;1)</x:f>
      </x:c>
      <x:c r="J86" s="21" t="str">
        <x:f>IF(B86="","",COUNTIF('任务记录'!$A$5:$A$104,B86)=1)</x:f>
      </x:c>
      <x:c r="K86" s="21" t="str">
        <x:f>IF(B86="","",COUNTIFS($B$5:$B$504,B86,$E$5:$E$504,"true"))</x:f>
      </x:c>
      <x:c r="L86" s="21" t="str">
        <x:f>IF(A86="","",AND(I86=FALSE,J86=TRUE,K86&lt;=1))</x:f>
      </x:c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 t="str">
        <x:f>IF(A87="","",COUNTIF($A$5:$A$504,A87)&gt;1)</x:f>
      </x:c>
      <x:c r="J87" s="21" t="str">
        <x:f>IF(B87="","",COUNTIF('任务记录'!$A$5:$A$104,B87)=1)</x:f>
      </x:c>
      <x:c r="K87" s="21" t="str">
        <x:f>IF(B87="","",COUNTIFS($B$5:$B$504,B87,$E$5:$E$504,"true"))</x:f>
      </x:c>
      <x:c r="L87" s="21" t="str">
        <x:f>IF(A87="","",AND(I87=FALSE,J87=TRUE,K87&lt;=1))</x:f>
      </x:c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 t="str">
        <x:f>IF(A88="","",COUNTIF($A$5:$A$504,A88)&gt;1)</x:f>
      </x:c>
      <x:c r="J88" s="21" t="str">
        <x:f>IF(B88="","",COUNTIF('任务记录'!$A$5:$A$104,B88)=1)</x:f>
      </x:c>
      <x:c r="K88" s="21" t="str">
        <x:f>IF(B88="","",COUNTIFS($B$5:$B$504,B88,$E$5:$E$504,"true"))</x:f>
      </x:c>
      <x:c r="L88" s="21" t="str">
        <x:f>IF(A88="","",AND(I88=FALSE,J88=TRUE,K88&lt;=1))</x:f>
      </x:c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 t="str">
        <x:f>IF(A89="","",COUNTIF($A$5:$A$504,A89)&gt;1)</x:f>
      </x:c>
      <x:c r="J89" s="21" t="str">
        <x:f>IF(B89="","",COUNTIF('任务记录'!$A$5:$A$104,B89)=1)</x:f>
      </x:c>
      <x:c r="K89" s="21" t="str">
        <x:f>IF(B89="","",COUNTIFS($B$5:$B$504,B89,$E$5:$E$504,"true"))</x:f>
      </x:c>
      <x:c r="L89" s="21" t="str">
        <x:f>IF(A89="","",AND(I89=FALSE,J89=TRUE,K89&lt;=1))</x:f>
      </x:c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 t="str">
        <x:f>IF(A90="","",COUNTIF($A$5:$A$504,A90)&gt;1)</x:f>
      </x:c>
      <x:c r="J90" s="21" t="str">
        <x:f>IF(B90="","",COUNTIF('任务记录'!$A$5:$A$104,B90)=1)</x:f>
      </x:c>
      <x:c r="K90" s="21" t="str">
        <x:f>IF(B90="","",COUNTIFS($B$5:$B$504,B90,$E$5:$E$504,"true"))</x:f>
      </x:c>
      <x:c r="L90" s="21" t="str">
        <x:f>IF(A90="","",AND(I90=FALSE,J90=TRUE,K90&lt;=1))</x:f>
      </x:c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 t="str">
        <x:f>IF(A91="","",COUNTIF($A$5:$A$504,A91)&gt;1)</x:f>
      </x:c>
      <x:c r="J91" s="21" t="str">
        <x:f>IF(B91="","",COUNTIF('任务记录'!$A$5:$A$104,B91)=1)</x:f>
      </x:c>
      <x:c r="K91" s="21" t="str">
        <x:f>IF(B91="","",COUNTIFS($B$5:$B$504,B91,$E$5:$E$504,"true"))</x:f>
      </x:c>
      <x:c r="L91" s="21" t="str">
        <x:f>IF(A91="","",AND(I91=FALSE,J91=TRUE,K91&lt;=1))</x:f>
      </x:c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 t="str">
        <x:f>IF(A92="","",COUNTIF($A$5:$A$504,A92)&gt;1)</x:f>
      </x:c>
      <x:c r="J92" s="21" t="str">
        <x:f>IF(B92="","",COUNTIF('任务记录'!$A$5:$A$104,B92)=1)</x:f>
      </x:c>
      <x:c r="K92" s="21" t="str">
        <x:f>IF(B92="","",COUNTIFS($B$5:$B$504,B92,$E$5:$E$504,"true"))</x:f>
      </x:c>
      <x:c r="L92" s="21" t="str">
        <x:f>IF(A92="","",AND(I92=FALSE,J92=TRUE,K92&lt;=1))</x:f>
      </x:c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 t="str">
        <x:f>IF(A93="","",COUNTIF($A$5:$A$504,A93)&gt;1)</x:f>
      </x:c>
      <x:c r="J93" s="21" t="str">
        <x:f>IF(B93="","",COUNTIF('任务记录'!$A$5:$A$104,B93)=1)</x:f>
      </x:c>
      <x:c r="K93" s="21" t="str">
        <x:f>IF(B93="","",COUNTIFS($B$5:$B$504,B93,$E$5:$E$504,"true"))</x:f>
      </x:c>
      <x:c r="L93" s="21" t="str">
        <x:f>IF(A93="","",AND(I93=FALSE,J93=TRUE,K93&lt;=1))</x:f>
      </x:c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 t="str">
        <x:f>IF(A94="","",COUNTIF($A$5:$A$504,A94)&gt;1)</x:f>
      </x:c>
      <x:c r="J94" s="21" t="str">
        <x:f>IF(B94="","",COUNTIF('任务记录'!$A$5:$A$104,B94)=1)</x:f>
      </x:c>
      <x:c r="K94" s="21" t="str">
        <x:f>IF(B94="","",COUNTIFS($B$5:$B$504,B94,$E$5:$E$504,"true"))</x:f>
      </x:c>
      <x:c r="L94" s="21" t="str">
        <x:f>IF(A94="","",AND(I94=FALSE,J94=TRUE,K94&lt;=1))</x:f>
      </x:c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 t="str">
        <x:f>IF(A95="","",COUNTIF($A$5:$A$504,A95)&gt;1)</x:f>
      </x:c>
      <x:c r="J95" s="21" t="str">
        <x:f>IF(B95="","",COUNTIF('任务记录'!$A$5:$A$104,B95)=1)</x:f>
      </x:c>
      <x:c r="K95" s="21" t="str">
        <x:f>IF(B95="","",COUNTIFS($B$5:$B$504,B95,$E$5:$E$504,"true"))</x:f>
      </x:c>
      <x:c r="L95" s="21" t="str">
        <x:f>IF(A95="","",AND(I95=FALSE,J95=TRUE,K95&lt;=1))</x:f>
      </x:c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 t="str">
        <x:f>IF(A96="","",COUNTIF($A$5:$A$504,A96)&gt;1)</x:f>
      </x:c>
      <x:c r="J96" s="21" t="str">
        <x:f>IF(B96="","",COUNTIF('任务记录'!$A$5:$A$104,B96)=1)</x:f>
      </x:c>
      <x:c r="K96" s="21" t="str">
        <x:f>IF(B96="","",COUNTIFS($B$5:$B$504,B96,$E$5:$E$504,"true"))</x:f>
      </x:c>
      <x:c r="L96" s="21" t="str">
        <x:f>IF(A96="","",AND(I96=FALSE,J96=TRUE,K96&lt;=1))</x:f>
      </x:c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 t="str">
        <x:f>IF(A97="","",COUNTIF($A$5:$A$504,A97)&gt;1)</x:f>
      </x:c>
      <x:c r="J97" s="21" t="str">
        <x:f>IF(B97="","",COUNTIF('任务记录'!$A$5:$A$104,B97)=1)</x:f>
      </x:c>
      <x:c r="K97" s="21" t="str">
        <x:f>IF(B97="","",COUNTIFS($B$5:$B$504,B97,$E$5:$E$504,"true"))</x:f>
      </x:c>
      <x:c r="L97" s="21" t="str">
        <x:f>IF(A97="","",AND(I97=FALSE,J97=TRUE,K97&lt;=1))</x:f>
      </x:c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 t="str">
        <x:f>IF(A98="","",COUNTIF($A$5:$A$504,A98)&gt;1)</x:f>
      </x:c>
      <x:c r="J98" s="21" t="str">
        <x:f>IF(B98="","",COUNTIF('任务记录'!$A$5:$A$104,B98)=1)</x:f>
      </x:c>
      <x:c r="K98" s="21" t="str">
        <x:f>IF(B98="","",COUNTIFS($B$5:$B$504,B98,$E$5:$E$504,"true"))</x:f>
      </x:c>
      <x:c r="L98" s="21" t="str">
        <x:f>IF(A98="","",AND(I98=FALSE,J98=TRUE,K98&lt;=1))</x:f>
      </x:c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 t="str">
        <x:f>IF(A99="","",COUNTIF($A$5:$A$504,A99)&gt;1)</x:f>
      </x:c>
      <x:c r="J99" s="21" t="str">
        <x:f>IF(B99="","",COUNTIF('任务记录'!$A$5:$A$104,B99)=1)</x:f>
      </x:c>
      <x:c r="K99" s="21" t="str">
        <x:f>IF(B99="","",COUNTIFS($B$5:$B$504,B99,$E$5:$E$504,"true"))</x:f>
      </x:c>
      <x:c r="L99" s="21" t="str">
        <x:f>IF(A99="","",AND(I99=FALSE,J99=TRUE,K99&lt;=1))</x:f>
      </x:c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 t="str">
        <x:f>IF(A100="","",COUNTIF($A$5:$A$504,A100)&gt;1)</x:f>
      </x:c>
      <x:c r="J100" s="21" t="str">
        <x:f>IF(B100="","",COUNTIF('任务记录'!$A$5:$A$104,B100)=1)</x:f>
      </x:c>
      <x:c r="K100" s="21" t="str">
        <x:f>IF(B100="","",COUNTIFS($B$5:$B$504,B100,$E$5:$E$504,"true"))</x:f>
      </x:c>
      <x:c r="L100" s="21" t="str">
        <x:f>IF(A100="","",AND(I100=FALSE,J100=TRUE,K100&lt;=1))</x:f>
      </x:c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 t="str">
        <x:f>IF(A101="","",COUNTIF($A$5:$A$504,A101)&gt;1)</x:f>
      </x:c>
      <x:c r="J101" s="21" t="str">
        <x:f>IF(B101="","",COUNTIF('任务记录'!$A$5:$A$104,B101)=1)</x:f>
      </x:c>
      <x:c r="K101" s="21" t="str">
        <x:f>IF(B101="","",COUNTIFS($B$5:$B$504,B101,$E$5:$E$504,"true"))</x:f>
      </x:c>
      <x:c r="L101" s="21" t="str">
        <x:f>IF(A101="","",AND(I101=FALSE,J101=TRUE,K101&lt;=1))</x:f>
      </x:c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 t="str">
        <x:f>IF(A102="","",COUNTIF($A$5:$A$504,A102)&gt;1)</x:f>
      </x:c>
      <x:c r="J102" s="21" t="str">
        <x:f>IF(B102="","",COUNTIF('任务记录'!$A$5:$A$104,B102)=1)</x:f>
      </x:c>
      <x:c r="K102" s="21" t="str">
        <x:f>IF(B102="","",COUNTIFS($B$5:$B$504,B102,$E$5:$E$504,"true"))</x:f>
      </x:c>
      <x:c r="L102" s="21" t="str">
        <x:f>IF(A102="","",AND(I102=FALSE,J102=TRUE,K102&lt;=1))</x:f>
      </x:c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 t="str">
        <x:f>IF(A103="","",COUNTIF($A$5:$A$504,A103)&gt;1)</x:f>
      </x:c>
      <x:c r="J103" s="21" t="str">
        <x:f>IF(B103="","",COUNTIF('任务记录'!$A$5:$A$104,B103)=1)</x:f>
      </x:c>
      <x:c r="K103" s="21" t="str">
        <x:f>IF(B103="","",COUNTIFS($B$5:$B$504,B103,$E$5:$E$504,"true"))</x:f>
      </x:c>
      <x:c r="L103" s="21" t="str">
        <x:f>IF(A103="","",AND(I103=FALSE,J103=TRUE,K103&lt;=1))</x:f>
      </x:c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 t="str">
        <x:f>IF(A104="","",COUNTIF($A$5:$A$504,A104)&gt;1)</x:f>
      </x:c>
      <x:c r="J104" s="21" t="str">
        <x:f>IF(B104="","",COUNTIF('任务记录'!$A$5:$A$104,B104)=1)</x:f>
      </x:c>
      <x:c r="K104" s="21" t="str">
        <x:f>IF(B104="","",COUNTIFS($B$5:$B$504,B104,$E$5:$E$504,"true"))</x:f>
      </x:c>
      <x:c r="L104" s="21" t="str">
        <x:f>IF(A104="","",AND(I104=FALSE,J104=TRUE,K104&lt;=1))</x:f>
      </x:c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 t="str">
        <x:f>IF(A105="","",COUNTIF($A$5:$A$504,A105)&gt;1)</x:f>
      </x:c>
      <x:c r="J105" s="21" t="str">
        <x:f>IF(B105="","",COUNTIF('任务记录'!$A$5:$A$104,B105)=1)</x:f>
      </x:c>
      <x:c r="K105" s="21" t="str">
        <x:f>IF(B105="","",COUNTIFS($B$5:$B$504,B105,$E$5:$E$504,"true"))</x:f>
      </x:c>
      <x:c r="L105" s="21" t="str">
        <x:f>IF(A105="","",AND(I105=FALSE,J105=TRUE,K105&lt;=1))</x:f>
      </x:c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 t="str">
        <x:f>IF(A106="","",COUNTIF($A$5:$A$504,A106)&gt;1)</x:f>
      </x:c>
      <x:c r="J106" s="21" t="str">
        <x:f>IF(B106="","",COUNTIF('任务记录'!$A$5:$A$104,B106)=1)</x:f>
      </x:c>
      <x:c r="K106" s="21" t="str">
        <x:f>IF(B106="","",COUNTIFS($B$5:$B$504,B106,$E$5:$E$504,"true"))</x:f>
      </x:c>
      <x:c r="L106" s="21" t="str">
        <x:f>IF(A106="","",AND(I106=FALSE,J106=TRUE,K106&lt;=1))</x:f>
      </x:c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 t="str">
        <x:f>IF(A107="","",COUNTIF($A$5:$A$504,A107)&gt;1)</x:f>
      </x:c>
      <x:c r="J107" s="21" t="str">
        <x:f>IF(B107="","",COUNTIF('任务记录'!$A$5:$A$104,B107)=1)</x:f>
      </x:c>
      <x:c r="K107" s="21" t="str">
        <x:f>IF(B107="","",COUNTIFS($B$5:$B$504,B107,$E$5:$E$504,"true"))</x:f>
      </x:c>
      <x:c r="L107" s="21" t="str">
        <x:f>IF(A107="","",AND(I107=FALSE,J107=TRUE,K107&lt;=1))</x:f>
      </x:c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 t="str">
        <x:f>IF(A108="","",COUNTIF($A$5:$A$504,A108)&gt;1)</x:f>
      </x:c>
      <x:c r="J108" s="21" t="str">
        <x:f>IF(B108="","",COUNTIF('任务记录'!$A$5:$A$104,B108)=1)</x:f>
      </x:c>
      <x:c r="K108" s="21" t="str">
        <x:f>IF(B108="","",COUNTIFS($B$5:$B$504,B108,$E$5:$E$504,"true"))</x:f>
      </x:c>
      <x:c r="L108" s="21" t="str">
        <x:f>IF(A108="","",AND(I108=FALSE,J108=TRUE,K108&lt;=1))</x:f>
      </x:c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 t="str">
        <x:f>IF(A109="","",COUNTIF($A$5:$A$504,A109)&gt;1)</x:f>
      </x:c>
      <x:c r="J109" s="21" t="str">
        <x:f>IF(B109="","",COUNTIF('任务记录'!$A$5:$A$104,B109)=1)</x:f>
      </x:c>
      <x:c r="K109" s="21" t="str">
        <x:f>IF(B109="","",COUNTIFS($B$5:$B$504,B109,$E$5:$E$504,"true"))</x:f>
      </x:c>
      <x:c r="L109" s="21" t="str">
        <x:f>IF(A109="","",AND(I109=FALSE,J109=TRUE,K109&lt;=1))</x:f>
      </x:c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 t="str">
        <x:f>IF(A110="","",COUNTIF($A$5:$A$504,A110)&gt;1)</x:f>
      </x:c>
      <x:c r="J110" s="21" t="str">
        <x:f>IF(B110="","",COUNTIF('任务记录'!$A$5:$A$104,B110)=1)</x:f>
      </x:c>
      <x:c r="K110" s="21" t="str">
        <x:f>IF(B110="","",COUNTIFS($B$5:$B$504,B110,$E$5:$E$504,"true"))</x:f>
      </x:c>
      <x:c r="L110" s="21" t="str">
        <x:f>IF(A110="","",AND(I110=FALSE,J110=TRUE,K110&lt;=1))</x:f>
      </x:c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 t="str">
        <x:f>IF(A111="","",COUNTIF($A$5:$A$504,A111)&gt;1)</x:f>
      </x:c>
      <x:c r="J111" s="21" t="str">
        <x:f>IF(B111="","",COUNTIF('任务记录'!$A$5:$A$104,B111)=1)</x:f>
      </x:c>
      <x:c r="K111" s="21" t="str">
        <x:f>IF(B111="","",COUNTIFS($B$5:$B$504,B111,$E$5:$E$504,"true"))</x:f>
      </x:c>
      <x:c r="L111" s="21" t="str">
        <x:f>IF(A111="","",AND(I111=FALSE,J111=TRUE,K111&lt;=1))</x:f>
      </x:c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 t="str">
        <x:f>IF(A112="","",COUNTIF($A$5:$A$504,A112)&gt;1)</x:f>
      </x:c>
      <x:c r="J112" s="21" t="str">
        <x:f>IF(B112="","",COUNTIF('任务记录'!$A$5:$A$104,B112)=1)</x:f>
      </x:c>
      <x:c r="K112" s="21" t="str">
        <x:f>IF(B112="","",COUNTIFS($B$5:$B$504,B112,$E$5:$E$504,"true"))</x:f>
      </x:c>
      <x:c r="L112" s="21" t="str">
        <x:f>IF(A112="","",AND(I112=FALSE,J112=TRUE,K112&lt;=1))</x:f>
      </x:c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 t="str">
        <x:f>IF(A113="","",COUNTIF($A$5:$A$504,A113)&gt;1)</x:f>
      </x:c>
      <x:c r="J113" s="21" t="str">
        <x:f>IF(B113="","",COUNTIF('任务记录'!$A$5:$A$104,B113)=1)</x:f>
      </x:c>
      <x:c r="K113" s="21" t="str">
        <x:f>IF(B113="","",COUNTIFS($B$5:$B$504,B113,$E$5:$E$504,"true"))</x:f>
      </x:c>
      <x:c r="L113" s="21" t="str">
        <x:f>IF(A113="","",AND(I113=FALSE,J113=TRUE,K113&lt;=1))</x:f>
      </x:c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 t="str">
        <x:f>IF(A114="","",COUNTIF($A$5:$A$504,A114)&gt;1)</x:f>
      </x:c>
      <x:c r="J114" s="21" t="str">
        <x:f>IF(B114="","",COUNTIF('任务记录'!$A$5:$A$104,B114)=1)</x:f>
      </x:c>
      <x:c r="K114" s="21" t="str">
        <x:f>IF(B114="","",COUNTIFS($B$5:$B$504,B114,$E$5:$E$504,"true"))</x:f>
      </x:c>
      <x:c r="L114" s="21" t="str">
        <x:f>IF(A114="","",AND(I114=FALSE,J114=TRUE,K114&lt;=1))</x:f>
      </x:c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 t="str">
        <x:f>IF(A115="","",COUNTIF($A$5:$A$504,A115)&gt;1)</x:f>
      </x:c>
      <x:c r="J115" s="21" t="str">
        <x:f>IF(B115="","",COUNTIF('任务记录'!$A$5:$A$104,B115)=1)</x:f>
      </x:c>
      <x:c r="K115" s="21" t="str">
        <x:f>IF(B115="","",COUNTIFS($B$5:$B$504,B115,$E$5:$E$504,"true"))</x:f>
      </x:c>
      <x:c r="L115" s="21" t="str">
        <x:f>IF(A115="","",AND(I115=FALSE,J115=TRUE,K115&lt;=1))</x:f>
      </x:c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 t="str">
        <x:f>IF(A116="","",COUNTIF($A$5:$A$504,A116)&gt;1)</x:f>
      </x:c>
      <x:c r="J116" s="21" t="str">
        <x:f>IF(B116="","",COUNTIF('任务记录'!$A$5:$A$104,B116)=1)</x:f>
      </x:c>
      <x:c r="K116" s="21" t="str">
        <x:f>IF(B116="","",COUNTIFS($B$5:$B$504,B116,$E$5:$E$504,"true"))</x:f>
      </x:c>
      <x:c r="L116" s="21" t="str">
        <x:f>IF(A116="","",AND(I116=FALSE,J116=TRUE,K116&lt;=1))</x:f>
      </x:c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 t="str">
        <x:f>IF(A117="","",COUNTIF($A$5:$A$504,A117)&gt;1)</x:f>
      </x:c>
      <x:c r="J117" s="21" t="str">
        <x:f>IF(B117="","",COUNTIF('任务记录'!$A$5:$A$104,B117)=1)</x:f>
      </x:c>
      <x:c r="K117" s="21" t="str">
        <x:f>IF(B117="","",COUNTIFS($B$5:$B$504,B117,$E$5:$E$504,"true"))</x:f>
      </x:c>
      <x:c r="L117" s="21" t="str">
        <x:f>IF(A117="","",AND(I117=FALSE,J117=TRUE,K117&lt;=1))</x:f>
      </x:c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 t="str">
        <x:f>IF(A118="","",COUNTIF($A$5:$A$504,A118)&gt;1)</x:f>
      </x:c>
      <x:c r="J118" s="21" t="str">
        <x:f>IF(B118="","",COUNTIF('任务记录'!$A$5:$A$104,B118)=1)</x:f>
      </x:c>
      <x:c r="K118" s="21" t="str">
        <x:f>IF(B118="","",COUNTIFS($B$5:$B$504,B118,$E$5:$E$504,"true"))</x:f>
      </x:c>
      <x:c r="L118" s="21" t="str">
        <x:f>IF(A118="","",AND(I118=FALSE,J118=TRUE,K118&lt;=1))</x:f>
      </x:c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 t="str">
        <x:f>IF(A119="","",COUNTIF($A$5:$A$504,A119)&gt;1)</x:f>
      </x:c>
      <x:c r="J119" s="21" t="str">
        <x:f>IF(B119="","",COUNTIF('任务记录'!$A$5:$A$104,B119)=1)</x:f>
      </x:c>
      <x:c r="K119" s="21" t="str">
        <x:f>IF(B119="","",COUNTIFS($B$5:$B$504,B119,$E$5:$E$504,"true"))</x:f>
      </x:c>
      <x:c r="L119" s="21" t="str">
        <x:f>IF(A119="","",AND(I119=FALSE,J119=TRUE,K119&lt;=1))</x:f>
      </x:c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 t="str">
        <x:f>IF(A120="","",COUNTIF($A$5:$A$504,A120)&gt;1)</x:f>
      </x:c>
      <x:c r="J120" s="21" t="str">
        <x:f>IF(B120="","",COUNTIF('任务记录'!$A$5:$A$104,B120)=1)</x:f>
      </x:c>
      <x:c r="K120" s="21" t="str">
        <x:f>IF(B120="","",COUNTIFS($B$5:$B$504,B120,$E$5:$E$504,"true"))</x:f>
      </x:c>
      <x:c r="L120" s="21" t="str">
        <x:f>IF(A120="","",AND(I120=FALSE,J120=TRUE,K120&lt;=1))</x:f>
      </x:c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 t="str">
        <x:f>IF(A121="","",COUNTIF($A$5:$A$504,A121)&gt;1)</x:f>
      </x:c>
      <x:c r="J121" s="21" t="str">
        <x:f>IF(B121="","",COUNTIF('任务记录'!$A$5:$A$104,B121)=1)</x:f>
      </x:c>
      <x:c r="K121" s="21" t="str">
        <x:f>IF(B121="","",COUNTIFS($B$5:$B$504,B121,$E$5:$E$504,"true"))</x:f>
      </x:c>
      <x:c r="L121" s="21" t="str">
        <x:f>IF(A121="","",AND(I121=FALSE,J121=TRUE,K121&lt;=1))</x:f>
      </x:c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 t="str">
        <x:f>IF(A122="","",COUNTIF($A$5:$A$504,A122)&gt;1)</x:f>
      </x:c>
      <x:c r="J122" s="21" t="str">
        <x:f>IF(B122="","",COUNTIF('任务记录'!$A$5:$A$104,B122)=1)</x:f>
      </x:c>
      <x:c r="K122" s="21" t="str">
        <x:f>IF(B122="","",COUNTIFS($B$5:$B$504,B122,$E$5:$E$504,"true"))</x:f>
      </x:c>
      <x:c r="L122" s="21" t="str">
        <x:f>IF(A122="","",AND(I122=FALSE,J122=TRUE,K122&lt;=1))</x:f>
      </x:c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 t="str">
        <x:f>IF(A123="","",COUNTIF($A$5:$A$504,A123)&gt;1)</x:f>
      </x:c>
      <x:c r="J123" s="21" t="str">
        <x:f>IF(B123="","",COUNTIF('任务记录'!$A$5:$A$104,B123)=1)</x:f>
      </x:c>
      <x:c r="K123" s="21" t="str">
        <x:f>IF(B123="","",COUNTIFS($B$5:$B$504,B123,$E$5:$E$504,"true"))</x:f>
      </x:c>
      <x:c r="L123" s="21" t="str">
        <x:f>IF(A123="","",AND(I123=FALSE,J123=TRUE,K123&lt;=1))</x:f>
      </x:c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 t="str">
        <x:f>IF(A124="","",COUNTIF($A$5:$A$504,A124)&gt;1)</x:f>
      </x:c>
      <x:c r="J124" s="21" t="str">
        <x:f>IF(B124="","",COUNTIF('任务记录'!$A$5:$A$104,B124)=1)</x:f>
      </x:c>
      <x:c r="K124" s="21" t="str">
        <x:f>IF(B124="","",COUNTIFS($B$5:$B$504,B124,$E$5:$E$504,"true"))</x:f>
      </x:c>
      <x:c r="L124" s="21" t="str">
        <x:f>IF(A124="","",AND(I124=FALSE,J124=TRUE,K124&lt;=1))</x:f>
      </x:c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 t="str">
        <x:f>IF(A125="","",COUNTIF($A$5:$A$504,A125)&gt;1)</x:f>
      </x:c>
      <x:c r="J125" s="21" t="str">
        <x:f>IF(B125="","",COUNTIF('任务记录'!$A$5:$A$104,B125)=1)</x:f>
      </x:c>
      <x:c r="K125" s="21" t="str">
        <x:f>IF(B125="","",COUNTIFS($B$5:$B$504,B125,$E$5:$E$504,"true"))</x:f>
      </x:c>
      <x:c r="L125" s="21" t="str">
        <x:f>IF(A125="","",AND(I125=FALSE,J125=TRUE,K125&lt;=1))</x:f>
      </x:c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 t="str">
        <x:f>IF(A126="","",COUNTIF($A$5:$A$504,A126)&gt;1)</x:f>
      </x:c>
      <x:c r="J126" s="21" t="str">
        <x:f>IF(B126="","",COUNTIF('任务记录'!$A$5:$A$104,B126)=1)</x:f>
      </x:c>
      <x:c r="K126" s="21" t="str">
        <x:f>IF(B126="","",COUNTIFS($B$5:$B$504,B126,$E$5:$E$504,"true"))</x:f>
      </x:c>
      <x:c r="L126" s="21" t="str">
        <x:f>IF(A126="","",AND(I126=FALSE,J126=TRUE,K126&lt;=1))</x:f>
      </x:c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 t="str">
        <x:f>IF(A127="","",COUNTIF($A$5:$A$504,A127)&gt;1)</x:f>
      </x:c>
      <x:c r="J127" s="21" t="str">
        <x:f>IF(B127="","",COUNTIF('任务记录'!$A$5:$A$104,B127)=1)</x:f>
      </x:c>
      <x:c r="K127" s="21" t="str">
        <x:f>IF(B127="","",COUNTIFS($B$5:$B$504,B127,$E$5:$E$504,"true"))</x:f>
      </x:c>
      <x:c r="L127" s="21" t="str">
        <x:f>IF(A127="","",AND(I127=FALSE,J127=TRUE,K127&lt;=1))</x:f>
      </x:c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 t="str">
        <x:f>IF(A128="","",COUNTIF($A$5:$A$504,A128)&gt;1)</x:f>
      </x:c>
      <x:c r="J128" s="21" t="str">
        <x:f>IF(B128="","",COUNTIF('任务记录'!$A$5:$A$104,B128)=1)</x:f>
      </x:c>
      <x:c r="K128" s="21" t="str">
        <x:f>IF(B128="","",COUNTIFS($B$5:$B$504,B128,$E$5:$E$504,"true"))</x:f>
      </x:c>
      <x:c r="L128" s="21" t="str">
        <x:f>IF(A128="","",AND(I128=FALSE,J128=TRUE,K128&lt;=1))</x:f>
      </x:c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 t="str">
        <x:f>IF(A129="","",COUNTIF($A$5:$A$504,A129)&gt;1)</x:f>
      </x:c>
      <x:c r="J129" s="21" t="str">
        <x:f>IF(B129="","",COUNTIF('任务记录'!$A$5:$A$104,B129)=1)</x:f>
      </x:c>
      <x:c r="K129" s="21" t="str">
        <x:f>IF(B129="","",COUNTIFS($B$5:$B$504,B129,$E$5:$E$504,"true"))</x:f>
      </x:c>
      <x:c r="L129" s="21" t="str">
        <x:f>IF(A129="","",AND(I129=FALSE,J129=TRUE,K129&lt;=1))</x:f>
      </x:c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 t="str">
        <x:f>IF(A130="","",COUNTIF($A$5:$A$504,A130)&gt;1)</x:f>
      </x:c>
      <x:c r="J130" s="21" t="str">
        <x:f>IF(B130="","",COUNTIF('任务记录'!$A$5:$A$104,B130)=1)</x:f>
      </x:c>
      <x:c r="K130" s="21" t="str">
        <x:f>IF(B130="","",COUNTIFS($B$5:$B$504,B130,$E$5:$E$504,"true"))</x:f>
      </x:c>
      <x:c r="L130" s="21" t="str">
        <x:f>IF(A130="","",AND(I130=FALSE,J130=TRUE,K130&lt;=1))</x:f>
      </x:c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 t="str">
        <x:f>IF(A131="","",COUNTIF($A$5:$A$504,A131)&gt;1)</x:f>
      </x:c>
      <x:c r="J131" s="21" t="str">
        <x:f>IF(B131="","",COUNTIF('任务记录'!$A$5:$A$104,B131)=1)</x:f>
      </x:c>
      <x:c r="K131" s="21" t="str">
        <x:f>IF(B131="","",COUNTIFS($B$5:$B$504,B131,$E$5:$E$504,"true"))</x:f>
      </x:c>
      <x:c r="L131" s="21" t="str">
        <x:f>IF(A131="","",AND(I131=FALSE,J131=TRUE,K131&lt;=1))</x:f>
      </x:c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 t="str">
        <x:f>IF(A132="","",COUNTIF($A$5:$A$504,A132)&gt;1)</x:f>
      </x:c>
      <x:c r="J132" s="21" t="str">
        <x:f>IF(B132="","",COUNTIF('任务记录'!$A$5:$A$104,B132)=1)</x:f>
      </x:c>
      <x:c r="K132" s="21" t="str">
        <x:f>IF(B132="","",COUNTIFS($B$5:$B$504,B132,$E$5:$E$504,"true"))</x:f>
      </x:c>
      <x:c r="L132" s="21" t="str">
        <x:f>IF(A132="","",AND(I132=FALSE,J132=TRUE,K132&lt;=1))</x:f>
      </x:c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 t="str">
        <x:f>IF(A133="","",COUNTIF($A$5:$A$504,A133)&gt;1)</x:f>
      </x:c>
      <x:c r="J133" s="21" t="str">
        <x:f>IF(B133="","",COUNTIF('任务记录'!$A$5:$A$104,B133)=1)</x:f>
      </x:c>
      <x:c r="K133" s="21" t="str">
        <x:f>IF(B133="","",COUNTIFS($B$5:$B$504,B133,$E$5:$E$504,"true"))</x:f>
      </x:c>
      <x:c r="L133" s="21" t="str">
        <x:f>IF(A133="","",AND(I133=FALSE,J133=TRUE,K133&lt;=1))</x:f>
      </x:c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 t="str">
        <x:f>IF(A134="","",COUNTIF($A$5:$A$504,A134)&gt;1)</x:f>
      </x:c>
      <x:c r="J134" s="21" t="str">
        <x:f>IF(B134="","",COUNTIF('任务记录'!$A$5:$A$104,B134)=1)</x:f>
      </x:c>
      <x:c r="K134" s="21" t="str">
        <x:f>IF(B134="","",COUNTIFS($B$5:$B$504,B134,$E$5:$E$504,"true"))</x:f>
      </x:c>
      <x:c r="L134" s="21" t="str">
        <x:f>IF(A134="","",AND(I134=FALSE,J134=TRUE,K134&lt;=1))</x:f>
      </x:c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 t="str">
        <x:f>IF(A135="","",COUNTIF($A$5:$A$504,A135)&gt;1)</x:f>
      </x:c>
      <x:c r="J135" s="21" t="str">
        <x:f>IF(B135="","",COUNTIF('任务记录'!$A$5:$A$104,B135)=1)</x:f>
      </x:c>
      <x:c r="K135" s="21" t="str">
        <x:f>IF(B135="","",COUNTIFS($B$5:$B$504,B135,$E$5:$E$504,"true"))</x:f>
      </x:c>
      <x:c r="L135" s="21" t="str">
        <x:f>IF(A135="","",AND(I135=FALSE,J135=TRUE,K135&lt;=1))</x:f>
      </x:c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 t="str">
        <x:f>IF(A136="","",COUNTIF($A$5:$A$504,A136)&gt;1)</x:f>
      </x:c>
      <x:c r="J136" s="21" t="str">
        <x:f>IF(B136="","",COUNTIF('任务记录'!$A$5:$A$104,B136)=1)</x:f>
      </x:c>
      <x:c r="K136" s="21" t="str">
        <x:f>IF(B136="","",COUNTIFS($B$5:$B$504,B136,$E$5:$E$504,"true"))</x:f>
      </x:c>
      <x:c r="L136" s="21" t="str">
        <x:f>IF(A136="","",AND(I136=FALSE,J136=TRUE,K136&lt;=1))</x:f>
      </x:c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 t="str">
        <x:f>IF(A137="","",COUNTIF($A$5:$A$504,A137)&gt;1)</x:f>
      </x:c>
      <x:c r="J137" s="21" t="str">
        <x:f>IF(B137="","",COUNTIF('任务记录'!$A$5:$A$104,B137)=1)</x:f>
      </x:c>
      <x:c r="K137" s="21" t="str">
        <x:f>IF(B137="","",COUNTIFS($B$5:$B$504,B137,$E$5:$E$504,"true"))</x:f>
      </x:c>
      <x:c r="L137" s="21" t="str">
        <x:f>IF(A137="","",AND(I137=FALSE,J137=TRUE,K137&lt;=1))</x:f>
      </x:c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 t="str">
        <x:f>IF(A138="","",COUNTIF($A$5:$A$504,A138)&gt;1)</x:f>
      </x:c>
      <x:c r="J138" s="21" t="str">
        <x:f>IF(B138="","",COUNTIF('任务记录'!$A$5:$A$104,B138)=1)</x:f>
      </x:c>
      <x:c r="K138" s="21" t="str">
        <x:f>IF(B138="","",COUNTIFS($B$5:$B$504,B138,$E$5:$E$504,"true"))</x:f>
      </x:c>
      <x:c r="L138" s="21" t="str">
        <x:f>IF(A138="","",AND(I138=FALSE,J138=TRUE,K138&lt;=1))</x:f>
      </x:c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 t="str">
        <x:f>IF(A139="","",COUNTIF($A$5:$A$504,A139)&gt;1)</x:f>
      </x:c>
      <x:c r="J139" s="21" t="str">
        <x:f>IF(B139="","",COUNTIF('任务记录'!$A$5:$A$104,B139)=1)</x:f>
      </x:c>
      <x:c r="K139" s="21" t="str">
        <x:f>IF(B139="","",COUNTIFS($B$5:$B$504,B139,$E$5:$E$504,"true"))</x:f>
      </x:c>
      <x:c r="L139" s="21" t="str">
        <x:f>IF(A139="","",AND(I139=FALSE,J139=TRUE,K139&lt;=1))</x:f>
      </x:c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 t="str">
        <x:f>IF(A140="","",COUNTIF($A$5:$A$504,A140)&gt;1)</x:f>
      </x:c>
      <x:c r="J140" s="21" t="str">
        <x:f>IF(B140="","",COUNTIF('任务记录'!$A$5:$A$104,B140)=1)</x:f>
      </x:c>
      <x:c r="K140" s="21" t="str">
        <x:f>IF(B140="","",COUNTIFS($B$5:$B$504,B140,$E$5:$E$504,"true"))</x:f>
      </x:c>
      <x:c r="L140" s="21" t="str">
        <x:f>IF(A140="","",AND(I140=FALSE,J140=TRUE,K140&lt;=1))</x:f>
      </x:c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 t="str">
        <x:f>IF(A141="","",COUNTIF($A$5:$A$504,A141)&gt;1)</x:f>
      </x:c>
      <x:c r="J141" s="21" t="str">
        <x:f>IF(B141="","",COUNTIF('任务记录'!$A$5:$A$104,B141)=1)</x:f>
      </x:c>
      <x:c r="K141" s="21" t="str">
        <x:f>IF(B141="","",COUNTIFS($B$5:$B$504,B141,$E$5:$E$504,"true"))</x:f>
      </x:c>
      <x:c r="L141" s="21" t="str">
        <x:f>IF(A141="","",AND(I141=FALSE,J141=TRUE,K141&lt;=1))</x:f>
      </x:c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 t="str">
        <x:f>IF(A142="","",COUNTIF($A$5:$A$504,A142)&gt;1)</x:f>
      </x:c>
      <x:c r="J142" s="21" t="str">
        <x:f>IF(B142="","",COUNTIF('任务记录'!$A$5:$A$104,B142)=1)</x:f>
      </x:c>
      <x:c r="K142" s="21" t="str">
        <x:f>IF(B142="","",COUNTIFS($B$5:$B$504,B142,$E$5:$E$504,"true"))</x:f>
      </x:c>
      <x:c r="L142" s="21" t="str">
        <x:f>IF(A142="","",AND(I142=FALSE,J142=TRUE,K142&lt;=1))</x:f>
      </x:c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 t="str">
        <x:f>IF(A143="","",COUNTIF($A$5:$A$504,A143)&gt;1)</x:f>
      </x:c>
      <x:c r="J143" s="21" t="str">
        <x:f>IF(B143="","",COUNTIF('任务记录'!$A$5:$A$104,B143)=1)</x:f>
      </x:c>
      <x:c r="K143" s="21" t="str">
        <x:f>IF(B143="","",COUNTIFS($B$5:$B$504,B143,$E$5:$E$504,"true"))</x:f>
      </x:c>
      <x:c r="L143" s="21" t="str">
        <x:f>IF(A143="","",AND(I143=FALSE,J143=TRUE,K143&lt;=1))</x:f>
      </x:c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 t="str">
        <x:f>IF(A144="","",COUNTIF($A$5:$A$504,A144)&gt;1)</x:f>
      </x:c>
      <x:c r="J144" s="21" t="str">
        <x:f>IF(B144="","",COUNTIF('任务记录'!$A$5:$A$104,B144)=1)</x:f>
      </x:c>
      <x:c r="K144" s="21" t="str">
        <x:f>IF(B144="","",COUNTIFS($B$5:$B$504,B144,$E$5:$E$504,"true"))</x:f>
      </x:c>
      <x:c r="L144" s="21" t="str">
        <x:f>IF(A144="","",AND(I144=FALSE,J144=TRUE,K144&lt;=1))</x:f>
      </x:c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 t="str">
        <x:f>IF(A145="","",COUNTIF($A$5:$A$504,A145)&gt;1)</x:f>
      </x:c>
      <x:c r="J145" s="21" t="str">
        <x:f>IF(B145="","",COUNTIF('任务记录'!$A$5:$A$104,B145)=1)</x:f>
      </x:c>
      <x:c r="K145" s="21" t="str">
        <x:f>IF(B145="","",COUNTIFS($B$5:$B$504,B145,$E$5:$E$504,"true"))</x:f>
      </x:c>
      <x:c r="L145" s="21" t="str">
        <x:f>IF(A145="","",AND(I145=FALSE,J145=TRUE,K145&lt;=1))</x:f>
      </x:c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 t="str">
        <x:f>IF(A146="","",COUNTIF($A$5:$A$504,A146)&gt;1)</x:f>
      </x:c>
      <x:c r="J146" s="21" t="str">
        <x:f>IF(B146="","",COUNTIF('任务记录'!$A$5:$A$104,B146)=1)</x:f>
      </x:c>
      <x:c r="K146" s="21" t="str">
        <x:f>IF(B146="","",COUNTIFS($B$5:$B$504,B146,$E$5:$E$504,"true"))</x:f>
      </x:c>
      <x:c r="L146" s="21" t="str">
        <x:f>IF(A146="","",AND(I146=FALSE,J146=TRUE,K146&lt;=1))</x:f>
      </x:c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 t="str">
        <x:f>IF(A147="","",COUNTIF($A$5:$A$504,A147)&gt;1)</x:f>
      </x:c>
      <x:c r="J147" s="21" t="str">
        <x:f>IF(B147="","",COUNTIF('任务记录'!$A$5:$A$104,B147)=1)</x:f>
      </x:c>
      <x:c r="K147" s="21" t="str">
        <x:f>IF(B147="","",COUNTIFS($B$5:$B$504,B147,$E$5:$E$504,"true"))</x:f>
      </x:c>
      <x:c r="L147" s="21" t="str">
        <x:f>IF(A147="","",AND(I147=FALSE,J147=TRUE,K147&lt;=1))</x:f>
      </x:c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 t="str">
        <x:f>IF(A148="","",COUNTIF($A$5:$A$504,A148)&gt;1)</x:f>
      </x:c>
      <x:c r="J148" s="21" t="str">
        <x:f>IF(B148="","",COUNTIF('任务记录'!$A$5:$A$104,B148)=1)</x:f>
      </x:c>
      <x:c r="K148" s="21" t="str">
        <x:f>IF(B148="","",COUNTIFS($B$5:$B$504,B148,$E$5:$E$504,"true"))</x:f>
      </x:c>
      <x:c r="L148" s="21" t="str">
        <x:f>IF(A148="","",AND(I148=FALSE,J148=TRUE,K148&lt;=1))</x:f>
      </x:c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 t="str">
        <x:f>IF(A149="","",COUNTIF($A$5:$A$504,A149)&gt;1)</x:f>
      </x:c>
      <x:c r="J149" s="21" t="str">
        <x:f>IF(B149="","",COUNTIF('任务记录'!$A$5:$A$104,B149)=1)</x:f>
      </x:c>
      <x:c r="K149" s="21" t="str">
        <x:f>IF(B149="","",COUNTIFS($B$5:$B$504,B149,$E$5:$E$504,"true"))</x:f>
      </x:c>
      <x:c r="L149" s="21" t="str">
        <x:f>IF(A149="","",AND(I149=FALSE,J149=TRUE,K149&lt;=1))</x:f>
      </x:c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 t="str">
        <x:f>IF(A150="","",COUNTIF($A$5:$A$504,A150)&gt;1)</x:f>
      </x:c>
      <x:c r="J150" s="21" t="str">
        <x:f>IF(B150="","",COUNTIF('任务记录'!$A$5:$A$104,B150)=1)</x:f>
      </x:c>
      <x:c r="K150" s="21" t="str">
        <x:f>IF(B150="","",COUNTIFS($B$5:$B$504,B150,$E$5:$E$504,"true"))</x:f>
      </x:c>
      <x:c r="L150" s="21" t="str">
        <x:f>IF(A150="","",AND(I150=FALSE,J150=TRUE,K150&lt;=1))</x:f>
      </x:c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 t="str">
        <x:f>IF(A151="","",COUNTIF($A$5:$A$504,A151)&gt;1)</x:f>
      </x:c>
      <x:c r="J151" s="21" t="str">
        <x:f>IF(B151="","",COUNTIF('任务记录'!$A$5:$A$104,B151)=1)</x:f>
      </x:c>
      <x:c r="K151" s="21" t="str">
        <x:f>IF(B151="","",COUNTIFS($B$5:$B$504,B151,$E$5:$E$504,"true"))</x:f>
      </x:c>
      <x:c r="L151" s="21" t="str">
        <x:f>IF(A151="","",AND(I151=FALSE,J151=TRUE,K151&lt;=1))</x:f>
      </x:c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 t="str">
        <x:f>IF(A152="","",COUNTIF($A$5:$A$504,A152)&gt;1)</x:f>
      </x:c>
      <x:c r="J152" s="21" t="str">
        <x:f>IF(B152="","",COUNTIF('任务记录'!$A$5:$A$104,B152)=1)</x:f>
      </x:c>
      <x:c r="K152" s="21" t="str">
        <x:f>IF(B152="","",COUNTIFS($B$5:$B$504,B152,$E$5:$E$504,"true"))</x:f>
      </x:c>
      <x:c r="L152" s="21" t="str">
        <x:f>IF(A152="","",AND(I152=FALSE,J152=TRUE,K152&lt;=1))</x:f>
      </x:c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 t="str">
        <x:f>IF(A153="","",COUNTIF($A$5:$A$504,A153)&gt;1)</x:f>
      </x:c>
      <x:c r="J153" s="21" t="str">
        <x:f>IF(B153="","",COUNTIF('任务记录'!$A$5:$A$104,B153)=1)</x:f>
      </x:c>
      <x:c r="K153" s="21" t="str">
        <x:f>IF(B153="","",COUNTIFS($B$5:$B$504,B153,$E$5:$E$504,"true"))</x:f>
      </x:c>
      <x:c r="L153" s="21" t="str">
        <x:f>IF(A153="","",AND(I153=FALSE,J153=TRUE,K153&lt;=1))</x:f>
      </x:c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 t="str">
        <x:f>IF(A154="","",COUNTIF($A$5:$A$504,A154)&gt;1)</x:f>
      </x:c>
      <x:c r="J154" s="21" t="str">
        <x:f>IF(B154="","",COUNTIF('任务记录'!$A$5:$A$104,B154)=1)</x:f>
      </x:c>
      <x:c r="K154" s="21" t="str">
        <x:f>IF(B154="","",COUNTIFS($B$5:$B$504,B154,$E$5:$E$504,"true"))</x:f>
      </x:c>
      <x:c r="L154" s="21" t="str">
        <x:f>IF(A154="","",AND(I154=FALSE,J154=TRUE,K154&lt;=1))</x:f>
      </x:c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 t="str">
        <x:f>IF(A155="","",COUNTIF($A$5:$A$504,A155)&gt;1)</x:f>
      </x:c>
      <x:c r="J155" s="21" t="str">
        <x:f>IF(B155="","",COUNTIF('任务记录'!$A$5:$A$104,B155)=1)</x:f>
      </x:c>
      <x:c r="K155" s="21" t="str">
        <x:f>IF(B155="","",COUNTIFS($B$5:$B$504,B155,$E$5:$E$504,"true"))</x:f>
      </x:c>
      <x:c r="L155" s="21" t="str">
        <x:f>IF(A155="","",AND(I155=FALSE,J155=TRUE,K155&lt;=1))</x:f>
      </x:c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 t="str">
        <x:f>IF(A156="","",COUNTIF($A$5:$A$504,A156)&gt;1)</x:f>
      </x:c>
      <x:c r="J156" s="21" t="str">
        <x:f>IF(B156="","",COUNTIF('任务记录'!$A$5:$A$104,B156)=1)</x:f>
      </x:c>
      <x:c r="K156" s="21" t="str">
        <x:f>IF(B156="","",COUNTIFS($B$5:$B$504,B156,$E$5:$E$504,"true"))</x:f>
      </x:c>
      <x:c r="L156" s="21" t="str">
        <x:f>IF(A156="","",AND(I156=FALSE,J156=TRUE,K156&lt;=1))</x:f>
      </x:c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 t="str">
        <x:f>IF(A157="","",COUNTIF($A$5:$A$504,A157)&gt;1)</x:f>
      </x:c>
      <x:c r="J157" s="21" t="str">
        <x:f>IF(B157="","",COUNTIF('任务记录'!$A$5:$A$104,B157)=1)</x:f>
      </x:c>
      <x:c r="K157" s="21" t="str">
        <x:f>IF(B157="","",COUNTIFS($B$5:$B$504,B157,$E$5:$E$504,"true"))</x:f>
      </x:c>
      <x:c r="L157" s="21" t="str">
        <x:f>IF(A157="","",AND(I157=FALSE,J157=TRUE,K157&lt;=1))</x:f>
      </x:c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 t="str">
        <x:f>IF(A158="","",COUNTIF($A$5:$A$504,A158)&gt;1)</x:f>
      </x:c>
      <x:c r="J158" s="21" t="str">
        <x:f>IF(B158="","",COUNTIF('任务记录'!$A$5:$A$104,B158)=1)</x:f>
      </x:c>
      <x:c r="K158" s="21" t="str">
        <x:f>IF(B158="","",COUNTIFS($B$5:$B$504,B158,$E$5:$E$504,"true"))</x:f>
      </x:c>
      <x:c r="L158" s="21" t="str">
        <x:f>IF(A158="","",AND(I158=FALSE,J158=TRUE,K158&lt;=1))</x:f>
      </x:c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 t="str">
        <x:f>IF(A159="","",COUNTIF($A$5:$A$504,A159)&gt;1)</x:f>
      </x:c>
      <x:c r="J159" s="21" t="str">
        <x:f>IF(B159="","",COUNTIF('任务记录'!$A$5:$A$104,B159)=1)</x:f>
      </x:c>
      <x:c r="K159" s="21" t="str">
        <x:f>IF(B159="","",COUNTIFS($B$5:$B$504,B159,$E$5:$E$504,"true"))</x:f>
      </x:c>
      <x:c r="L159" s="21" t="str">
        <x:f>IF(A159="","",AND(I159=FALSE,J159=TRUE,K159&lt;=1))</x:f>
      </x:c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 t="str">
        <x:f>IF(A160="","",COUNTIF($A$5:$A$504,A160)&gt;1)</x:f>
      </x:c>
      <x:c r="J160" s="21" t="str">
        <x:f>IF(B160="","",COUNTIF('任务记录'!$A$5:$A$104,B160)=1)</x:f>
      </x:c>
      <x:c r="K160" s="21" t="str">
        <x:f>IF(B160="","",COUNTIFS($B$5:$B$504,B160,$E$5:$E$504,"true"))</x:f>
      </x:c>
      <x:c r="L160" s="21" t="str">
        <x:f>IF(A160="","",AND(I160=FALSE,J160=TRUE,K160&lt;=1))</x:f>
      </x:c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 t="str">
        <x:f>IF(A161="","",COUNTIF($A$5:$A$504,A161)&gt;1)</x:f>
      </x:c>
      <x:c r="J161" s="21" t="str">
        <x:f>IF(B161="","",COUNTIF('任务记录'!$A$5:$A$104,B161)=1)</x:f>
      </x:c>
      <x:c r="K161" s="21" t="str">
        <x:f>IF(B161="","",COUNTIFS($B$5:$B$504,B161,$E$5:$E$504,"true"))</x:f>
      </x:c>
      <x:c r="L161" s="21" t="str">
        <x:f>IF(A161="","",AND(I161=FALSE,J161=TRUE,K161&lt;=1))</x:f>
      </x:c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 t="str">
        <x:f>IF(A162="","",COUNTIF($A$5:$A$504,A162)&gt;1)</x:f>
      </x:c>
      <x:c r="J162" s="21" t="str">
        <x:f>IF(B162="","",COUNTIF('任务记录'!$A$5:$A$104,B162)=1)</x:f>
      </x:c>
      <x:c r="K162" s="21" t="str">
        <x:f>IF(B162="","",COUNTIFS($B$5:$B$504,B162,$E$5:$E$504,"true"))</x:f>
      </x:c>
      <x:c r="L162" s="21" t="str">
        <x:f>IF(A162="","",AND(I162=FALSE,J162=TRUE,K162&lt;=1))</x:f>
      </x:c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 t="str">
        <x:f>IF(A163="","",COUNTIF($A$5:$A$504,A163)&gt;1)</x:f>
      </x:c>
      <x:c r="J163" s="21" t="str">
        <x:f>IF(B163="","",COUNTIF('任务记录'!$A$5:$A$104,B163)=1)</x:f>
      </x:c>
      <x:c r="K163" s="21" t="str">
        <x:f>IF(B163="","",COUNTIFS($B$5:$B$504,B163,$E$5:$E$504,"true"))</x:f>
      </x:c>
      <x:c r="L163" s="21" t="str">
        <x:f>IF(A163="","",AND(I163=FALSE,J163=TRUE,K163&lt;=1))</x:f>
      </x:c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 t="str">
        <x:f>IF(A164="","",COUNTIF($A$5:$A$504,A164)&gt;1)</x:f>
      </x:c>
      <x:c r="J164" s="21" t="str">
        <x:f>IF(B164="","",COUNTIF('任务记录'!$A$5:$A$104,B164)=1)</x:f>
      </x:c>
      <x:c r="K164" s="21" t="str">
        <x:f>IF(B164="","",COUNTIFS($B$5:$B$504,B164,$E$5:$E$504,"true"))</x:f>
      </x:c>
      <x:c r="L164" s="21" t="str">
        <x:f>IF(A164="","",AND(I164=FALSE,J164=TRUE,K164&lt;=1))</x:f>
      </x:c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 t="str">
        <x:f>IF(A165="","",COUNTIF($A$5:$A$504,A165)&gt;1)</x:f>
      </x:c>
      <x:c r="J165" s="21" t="str">
        <x:f>IF(B165="","",COUNTIF('任务记录'!$A$5:$A$104,B165)=1)</x:f>
      </x:c>
      <x:c r="K165" s="21" t="str">
        <x:f>IF(B165="","",COUNTIFS($B$5:$B$504,B165,$E$5:$E$504,"true"))</x:f>
      </x:c>
      <x:c r="L165" s="21" t="str">
        <x:f>IF(A165="","",AND(I165=FALSE,J165=TRUE,K165&lt;=1))</x:f>
      </x:c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 t="str">
        <x:f>IF(A166="","",COUNTIF($A$5:$A$504,A166)&gt;1)</x:f>
      </x:c>
      <x:c r="J166" s="21" t="str">
        <x:f>IF(B166="","",COUNTIF('任务记录'!$A$5:$A$104,B166)=1)</x:f>
      </x:c>
      <x:c r="K166" s="21" t="str">
        <x:f>IF(B166="","",COUNTIFS($B$5:$B$504,B166,$E$5:$E$504,"true"))</x:f>
      </x:c>
      <x:c r="L166" s="21" t="str">
        <x:f>IF(A166="","",AND(I166=FALSE,J166=TRUE,K166&lt;=1))</x:f>
      </x:c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 t="str">
        <x:f>IF(A167="","",COUNTIF($A$5:$A$504,A167)&gt;1)</x:f>
      </x:c>
      <x:c r="J167" s="21" t="str">
        <x:f>IF(B167="","",COUNTIF('任务记录'!$A$5:$A$104,B167)=1)</x:f>
      </x:c>
      <x:c r="K167" s="21" t="str">
        <x:f>IF(B167="","",COUNTIFS($B$5:$B$504,B167,$E$5:$E$504,"true"))</x:f>
      </x:c>
      <x:c r="L167" s="21" t="str">
        <x:f>IF(A167="","",AND(I167=FALSE,J167=TRUE,K167&lt;=1))</x:f>
      </x:c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 t="str">
        <x:f>IF(A168="","",COUNTIF($A$5:$A$504,A168)&gt;1)</x:f>
      </x:c>
      <x:c r="J168" s="21" t="str">
        <x:f>IF(B168="","",COUNTIF('任务记录'!$A$5:$A$104,B168)=1)</x:f>
      </x:c>
      <x:c r="K168" s="21" t="str">
        <x:f>IF(B168="","",COUNTIFS($B$5:$B$504,B168,$E$5:$E$504,"true"))</x:f>
      </x:c>
      <x:c r="L168" s="21" t="str">
        <x:f>IF(A168="","",AND(I168=FALSE,J168=TRUE,K168&lt;=1))</x:f>
      </x:c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 t="str">
        <x:f>IF(A169="","",COUNTIF($A$5:$A$504,A169)&gt;1)</x:f>
      </x:c>
      <x:c r="J169" s="21" t="str">
        <x:f>IF(B169="","",COUNTIF('任务记录'!$A$5:$A$104,B169)=1)</x:f>
      </x:c>
      <x:c r="K169" s="21" t="str">
        <x:f>IF(B169="","",COUNTIFS($B$5:$B$504,B169,$E$5:$E$504,"true"))</x:f>
      </x:c>
      <x:c r="L169" s="21" t="str">
        <x:f>IF(A169="","",AND(I169=FALSE,J169=TRUE,K169&lt;=1))</x:f>
      </x:c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 t="str">
        <x:f>IF(A170="","",COUNTIF($A$5:$A$504,A170)&gt;1)</x:f>
      </x:c>
      <x:c r="J170" s="21" t="str">
        <x:f>IF(B170="","",COUNTIF('任务记录'!$A$5:$A$104,B170)=1)</x:f>
      </x:c>
      <x:c r="K170" s="21" t="str">
        <x:f>IF(B170="","",COUNTIFS($B$5:$B$504,B170,$E$5:$E$504,"true"))</x:f>
      </x:c>
      <x:c r="L170" s="21" t="str">
        <x:f>IF(A170="","",AND(I170=FALSE,J170=TRUE,K170&lt;=1))</x:f>
      </x:c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 t="str">
        <x:f>IF(A171="","",COUNTIF($A$5:$A$504,A171)&gt;1)</x:f>
      </x:c>
      <x:c r="J171" s="21" t="str">
        <x:f>IF(B171="","",COUNTIF('任务记录'!$A$5:$A$104,B171)=1)</x:f>
      </x:c>
      <x:c r="K171" s="21" t="str">
        <x:f>IF(B171="","",COUNTIFS($B$5:$B$504,B171,$E$5:$E$504,"true"))</x:f>
      </x:c>
      <x:c r="L171" s="21" t="str">
        <x:f>IF(A171="","",AND(I171=FALSE,J171=TRUE,K171&lt;=1))</x:f>
      </x:c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 t="str">
        <x:f>IF(A172="","",COUNTIF($A$5:$A$504,A172)&gt;1)</x:f>
      </x:c>
      <x:c r="J172" s="21" t="str">
        <x:f>IF(B172="","",COUNTIF('任务记录'!$A$5:$A$104,B172)=1)</x:f>
      </x:c>
      <x:c r="K172" s="21" t="str">
        <x:f>IF(B172="","",COUNTIFS($B$5:$B$504,B172,$E$5:$E$504,"true"))</x:f>
      </x:c>
      <x:c r="L172" s="21" t="str">
        <x:f>IF(A172="","",AND(I172=FALSE,J172=TRUE,K172&lt;=1))</x:f>
      </x:c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 t="str">
        <x:f>IF(A173="","",COUNTIF($A$5:$A$504,A173)&gt;1)</x:f>
      </x:c>
      <x:c r="J173" s="21" t="str">
        <x:f>IF(B173="","",COUNTIF('任务记录'!$A$5:$A$104,B173)=1)</x:f>
      </x:c>
      <x:c r="K173" s="21" t="str">
        <x:f>IF(B173="","",COUNTIFS($B$5:$B$504,B173,$E$5:$E$504,"true"))</x:f>
      </x:c>
      <x:c r="L173" s="21" t="str">
        <x:f>IF(A173="","",AND(I173=FALSE,J173=TRUE,K173&lt;=1))</x:f>
      </x:c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 t="str">
        <x:f>IF(A174="","",COUNTIF($A$5:$A$504,A174)&gt;1)</x:f>
      </x:c>
      <x:c r="J174" s="21" t="str">
        <x:f>IF(B174="","",COUNTIF('任务记录'!$A$5:$A$104,B174)=1)</x:f>
      </x:c>
      <x:c r="K174" s="21" t="str">
        <x:f>IF(B174="","",COUNTIFS($B$5:$B$504,B174,$E$5:$E$504,"true"))</x:f>
      </x:c>
      <x:c r="L174" s="21" t="str">
        <x:f>IF(A174="","",AND(I174=FALSE,J174=TRUE,K174&lt;=1))</x:f>
      </x:c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 t="str">
        <x:f>IF(A175="","",COUNTIF($A$5:$A$504,A175)&gt;1)</x:f>
      </x:c>
      <x:c r="J175" s="21" t="str">
        <x:f>IF(B175="","",COUNTIF('任务记录'!$A$5:$A$104,B175)=1)</x:f>
      </x:c>
      <x:c r="K175" s="21" t="str">
        <x:f>IF(B175="","",COUNTIFS($B$5:$B$504,B175,$E$5:$E$504,"true"))</x:f>
      </x:c>
      <x:c r="L175" s="21" t="str">
        <x:f>IF(A175="","",AND(I175=FALSE,J175=TRUE,K175&lt;=1))</x:f>
      </x:c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 t="str">
        <x:f>IF(A176="","",COUNTIF($A$5:$A$504,A176)&gt;1)</x:f>
      </x:c>
      <x:c r="J176" s="21" t="str">
        <x:f>IF(B176="","",COUNTIF('任务记录'!$A$5:$A$104,B176)=1)</x:f>
      </x:c>
      <x:c r="K176" s="21" t="str">
        <x:f>IF(B176="","",COUNTIFS($B$5:$B$504,B176,$E$5:$E$504,"true"))</x:f>
      </x:c>
      <x:c r="L176" s="21" t="str">
        <x:f>IF(A176="","",AND(I176=FALSE,J176=TRUE,K176&lt;=1))</x:f>
      </x:c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 t="str">
        <x:f>IF(A177="","",COUNTIF($A$5:$A$504,A177)&gt;1)</x:f>
      </x:c>
      <x:c r="J177" s="21" t="str">
        <x:f>IF(B177="","",COUNTIF('任务记录'!$A$5:$A$104,B177)=1)</x:f>
      </x:c>
      <x:c r="K177" s="21" t="str">
        <x:f>IF(B177="","",COUNTIFS($B$5:$B$504,B177,$E$5:$E$504,"true"))</x:f>
      </x:c>
      <x:c r="L177" s="21" t="str">
        <x:f>IF(A177="","",AND(I177=FALSE,J177=TRUE,K177&lt;=1))</x:f>
      </x:c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 t="str">
        <x:f>IF(A178="","",COUNTIF($A$5:$A$504,A178)&gt;1)</x:f>
      </x:c>
      <x:c r="J178" s="21" t="str">
        <x:f>IF(B178="","",COUNTIF('任务记录'!$A$5:$A$104,B178)=1)</x:f>
      </x:c>
      <x:c r="K178" s="21" t="str">
        <x:f>IF(B178="","",COUNTIFS($B$5:$B$504,B178,$E$5:$E$504,"true"))</x:f>
      </x:c>
      <x:c r="L178" s="21" t="str">
        <x:f>IF(A178="","",AND(I178=FALSE,J178=TRUE,K178&lt;=1))</x:f>
      </x:c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 t="str">
        <x:f>IF(A179="","",COUNTIF($A$5:$A$504,A179)&gt;1)</x:f>
      </x:c>
      <x:c r="J179" s="21" t="str">
        <x:f>IF(B179="","",COUNTIF('任务记录'!$A$5:$A$104,B179)=1)</x:f>
      </x:c>
      <x:c r="K179" s="21" t="str">
        <x:f>IF(B179="","",COUNTIFS($B$5:$B$504,B179,$E$5:$E$504,"true"))</x:f>
      </x:c>
      <x:c r="L179" s="21" t="str">
        <x:f>IF(A179="","",AND(I179=FALSE,J179=TRUE,K179&lt;=1))</x:f>
      </x:c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 t="str">
        <x:f>IF(A180="","",COUNTIF($A$5:$A$504,A180)&gt;1)</x:f>
      </x:c>
      <x:c r="J180" s="21" t="str">
        <x:f>IF(B180="","",COUNTIF('任务记录'!$A$5:$A$104,B180)=1)</x:f>
      </x:c>
      <x:c r="K180" s="21" t="str">
        <x:f>IF(B180="","",COUNTIFS($B$5:$B$504,B180,$E$5:$E$504,"true"))</x:f>
      </x:c>
      <x:c r="L180" s="21" t="str">
        <x:f>IF(A180="","",AND(I180=FALSE,J180=TRUE,K180&lt;=1))</x:f>
      </x:c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 t="str">
        <x:f>IF(A181="","",COUNTIF($A$5:$A$504,A181)&gt;1)</x:f>
      </x:c>
      <x:c r="J181" s="21" t="str">
        <x:f>IF(B181="","",COUNTIF('任务记录'!$A$5:$A$104,B181)=1)</x:f>
      </x:c>
      <x:c r="K181" s="21" t="str">
        <x:f>IF(B181="","",COUNTIFS($B$5:$B$504,B181,$E$5:$E$504,"true"))</x:f>
      </x:c>
      <x:c r="L181" s="21" t="str">
        <x:f>IF(A181="","",AND(I181=FALSE,J181=TRUE,K181&lt;=1))</x:f>
      </x:c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 t="str">
        <x:f>IF(A182="","",COUNTIF($A$5:$A$504,A182)&gt;1)</x:f>
      </x:c>
      <x:c r="J182" s="21" t="str">
        <x:f>IF(B182="","",COUNTIF('任务记录'!$A$5:$A$104,B182)=1)</x:f>
      </x:c>
      <x:c r="K182" s="21" t="str">
        <x:f>IF(B182="","",COUNTIFS($B$5:$B$504,B182,$E$5:$E$504,"true"))</x:f>
      </x:c>
      <x:c r="L182" s="21" t="str">
        <x:f>IF(A182="","",AND(I182=FALSE,J182=TRUE,K182&lt;=1))</x:f>
      </x:c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 t="str">
        <x:f>IF(A183="","",COUNTIF($A$5:$A$504,A183)&gt;1)</x:f>
      </x:c>
      <x:c r="J183" s="21" t="str">
        <x:f>IF(B183="","",COUNTIF('任务记录'!$A$5:$A$104,B183)=1)</x:f>
      </x:c>
      <x:c r="K183" s="21" t="str">
        <x:f>IF(B183="","",COUNTIFS($B$5:$B$504,B183,$E$5:$E$504,"true"))</x:f>
      </x:c>
      <x:c r="L183" s="21" t="str">
        <x:f>IF(A183="","",AND(I183=FALSE,J183=TRUE,K183&lt;=1))</x:f>
      </x:c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 t="str">
        <x:f>IF(A184="","",COUNTIF($A$5:$A$504,A184)&gt;1)</x:f>
      </x:c>
      <x:c r="J184" s="21" t="str">
        <x:f>IF(B184="","",COUNTIF('任务记录'!$A$5:$A$104,B184)=1)</x:f>
      </x:c>
      <x:c r="K184" s="21" t="str">
        <x:f>IF(B184="","",COUNTIFS($B$5:$B$504,B184,$E$5:$E$504,"true"))</x:f>
      </x:c>
      <x:c r="L184" s="21" t="str">
        <x:f>IF(A184="","",AND(I184=FALSE,J184=TRUE,K184&lt;=1))</x:f>
      </x:c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 t="str">
        <x:f>IF(A185="","",COUNTIF($A$5:$A$504,A185)&gt;1)</x:f>
      </x:c>
      <x:c r="J185" s="21" t="str">
        <x:f>IF(B185="","",COUNTIF('任务记录'!$A$5:$A$104,B185)=1)</x:f>
      </x:c>
      <x:c r="K185" s="21" t="str">
        <x:f>IF(B185="","",COUNTIFS($B$5:$B$504,B185,$E$5:$E$504,"true"))</x:f>
      </x:c>
      <x:c r="L185" s="21" t="str">
        <x:f>IF(A185="","",AND(I185=FALSE,J185=TRUE,K185&lt;=1))</x:f>
      </x:c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 t="str">
        <x:f>IF(A186="","",COUNTIF($A$5:$A$504,A186)&gt;1)</x:f>
      </x:c>
      <x:c r="J186" s="21" t="str">
        <x:f>IF(B186="","",COUNTIF('任务记录'!$A$5:$A$104,B186)=1)</x:f>
      </x:c>
      <x:c r="K186" s="21" t="str">
        <x:f>IF(B186="","",COUNTIFS($B$5:$B$504,B186,$E$5:$E$504,"true"))</x:f>
      </x:c>
      <x:c r="L186" s="21" t="str">
        <x:f>IF(A186="","",AND(I186=FALSE,J186=TRUE,K186&lt;=1))</x:f>
      </x:c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 t="str">
        <x:f>IF(A187="","",COUNTIF($A$5:$A$504,A187)&gt;1)</x:f>
      </x:c>
      <x:c r="J187" s="21" t="str">
        <x:f>IF(B187="","",COUNTIF('任务记录'!$A$5:$A$104,B187)=1)</x:f>
      </x:c>
      <x:c r="K187" s="21" t="str">
        <x:f>IF(B187="","",COUNTIFS($B$5:$B$504,B187,$E$5:$E$504,"true"))</x:f>
      </x:c>
      <x:c r="L187" s="21" t="str">
        <x:f>IF(A187="","",AND(I187=FALSE,J187=TRUE,K187&lt;=1))</x:f>
      </x:c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 t="str">
        <x:f>IF(A188="","",COUNTIF($A$5:$A$504,A188)&gt;1)</x:f>
      </x:c>
      <x:c r="J188" s="21" t="str">
        <x:f>IF(B188="","",COUNTIF('任务记录'!$A$5:$A$104,B188)=1)</x:f>
      </x:c>
      <x:c r="K188" s="21" t="str">
        <x:f>IF(B188="","",COUNTIFS($B$5:$B$504,B188,$E$5:$E$504,"true"))</x:f>
      </x:c>
      <x:c r="L188" s="21" t="str">
        <x:f>IF(A188="","",AND(I188=FALSE,J188=TRUE,K188&lt;=1))</x:f>
      </x:c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 t="str">
        <x:f>IF(A189="","",COUNTIF($A$5:$A$504,A189)&gt;1)</x:f>
      </x:c>
      <x:c r="J189" s="21" t="str">
        <x:f>IF(B189="","",COUNTIF('任务记录'!$A$5:$A$104,B189)=1)</x:f>
      </x:c>
      <x:c r="K189" s="21" t="str">
        <x:f>IF(B189="","",COUNTIFS($B$5:$B$504,B189,$E$5:$E$504,"true"))</x:f>
      </x:c>
      <x:c r="L189" s="21" t="str">
        <x:f>IF(A189="","",AND(I189=FALSE,J189=TRUE,K189&lt;=1))</x:f>
      </x:c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 t="str">
        <x:f>IF(A190="","",COUNTIF($A$5:$A$504,A190)&gt;1)</x:f>
      </x:c>
      <x:c r="J190" s="21" t="str">
        <x:f>IF(B190="","",COUNTIF('任务记录'!$A$5:$A$104,B190)=1)</x:f>
      </x:c>
      <x:c r="K190" s="21" t="str">
        <x:f>IF(B190="","",COUNTIFS($B$5:$B$504,B190,$E$5:$E$504,"true"))</x:f>
      </x:c>
      <x:c r="L190" s="21" t="str">
        <x:f>IF(A190="","",AND(I190=FALSE,J190=TRUE,K190&lt;=1))</x:f>
      </x:c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 t="str">
        <x:f>IF(A191="","",COUNTIF($A$5:$A$504,A191)&gt;1)</x:f>
      </x:c>
      <x:c r="J191" s="21" t="str">
        <x:f>IF(B191="","",COUNTIF('任务记录'!$A$5:$A$104,B191)=1)</x:f>
      </x:c>
      <x:c r="K191" s="21" t="str">
        <x:f>IF(B191="","",COUNTIFS($B$5:$B$504,B191,$E$5:$E$504,"true"))</x:f>
      </x:c>
      <x:c r="L191" s="21" t="str">
        <x:f>IF(A191="","",AND(I191=FALSE,J191=TRUE,K191&lt;=1))</x:f>
      </x:c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 t="str">
        <x:f>IF(A192="","",COUNTIF($A$5:$A$504,A192)&gt;1)</x:f>
      </x:c>
      <x:c r="J192" s="21" t="str">
        <x:f>IF(B192="","",COUNTIF('任务记录'!$A$5:$A$104,B192)=1)</x:f>
      </x:c>
      <x:c r="K192" s="21" t="str">
        <x:f>IF(B192="","",COUNTIFS($B$5:$B$504,B192,$E$5:$E$504,"true"))</x:f>
      </x:c>
      <x:c r="L192" s="21" t="str">
        <x:f>IF(A192="","",AND(I192=FALSE,J192=TRUE,K192&lt;=1))</x:f>
      </x:c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 t="str">
        <x:f>IF(A193="","",COUNTIF($A$5:$A$504,A193)&gt;1)</x:f>
      </x:c>
      <x:c r="J193" s="21" t="str">
        <x:f>IF(B193="","",COUNTIF('任务记录'!$A$5:$A$104,B193)=1)</x:f>
      </x:c>
      <x:c r="K193" s="21" t="str">
        <x:f>IF(B193="","",COUNTIFS($B$5:$B$504,B193,$E$5:$E$504,"true"))</x:f>
      </x:c>
      <x:c r="L193" s="21" t="str">
        <x:f>IF(A193="","",AND(I193=FALSE,J193=TRUE,K193&lt;=1))</x:f>
      </x:c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 t="str">
        <x:f>IF(A194="","",COUNTIF($A$5:$A$504,A194)&gt;1)</x:f>
      </x:c>
      <x:c r="J194" s="21" t="str">
        <x:f>IF(B194="","",COUNTIF('任务记录'!$A$5:$A$104,B194)=1)</x:f>
      </x:c>
      <x:c r="K194" s="21" t="str">
        <x:f>IF(B194="","",COUNTIFS($B$5:$B$504,B194,$E$5:$E$504,"true"))</x:f>
      </x:c>
      <x:c r="L194" s="21" t="str">
        <x:f>IF(A194="","",AND(I194=FALSE,J194=TRUE,K194&lt;=1))</x:f>
      </x:c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 t="str">
        <x:f>IF(A195="","",COUNTIF($A$5:$A$504,A195)&gt;1)</x:f>
      </x:c>
      <x:c r="J195" s="21" t="str">
        <x:f>IF(B195="","",COUNTIF('任务记录'!$A$5:$A$104,B195)=1)</x:f>
      </x:c>
      <x:c r="K195" s="21" t="str">
        <x:f>IF(B195="","",COUNTIFS($B$5:$B$504,B195,$E$5:$E$504,"true"))</x:f>
      </x:c>
      <x:c r="L195" s="21" t="str">
        <x:f>IF(A195="","",AND(I195=FALSE,J195=TRUE,K195&lt;=1))</x:f>
      </x:c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 t="str">
        <x:f>IF(A196="","",COUNTIF($A$5:$A$504,A196)&gt;1)</x:f>
      </x:c>
      <x:c r="J196" s="21" t="str">
        <x:f>IF(B196="","",COUNTIF('任务记录'!$A$5:$A$104,B196)=1)</x:f>
      </x:c>
      <x:c r="K196" s="21" t="str">
        <x:f>IF(B196="","",COUNTIFS($B$5:$B$504,B196,$E$5:$E$504,"true"))</x:f>
      </x:c>
      <x:c r="L196" s="21" t="str">
        <x:f>IF(A196="","",AND(I196=FALSE,J196=TRUE,K196&lt;=1))</x:f>
      </x:c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 t="str">
        <x:f>IF(A197="","",COUNTIF($A$5:$A$504,A197)&gt;1)</x:f>
      </x:c>
      <x:c r="J197" s="21" t="str">
        <x:f>IF(B197="","",COUNTIF('任务记录'!$A$5:$A$104,B197)=1)</x:f>
      </x:c>
      <x:c r="K197" s="21" t="str">
        <x:f>IF(B197="","",COUNTIFS($B$5:$B$504,B197,$E$5:$E$504,"true"))</x:f>
      </x:c>
      <x:c r="L197" s="21" t="str">
        <x:f>IF(A197="","",AND(I197=FALSE,J197=TRUE,K197&lt;=1))</x:f>
      </x:c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 t="str">
        <x:f>IF(A198="","",COUNTIF($A$5:$A$504,A198)&gt;1)</x:f>
      </x:c>
      <x:c r="J198" s="21" t="str">
        <x:f>IF(B198="","",COUNTIF('任务记录'!$A$5:$A$104,B198)=1)</x:f>
      </x:c>
      <x:c r="K198" s="21" t="str">
        <x:f>IF(B198="","",COUNTIFS($B$5:$B$504,B198,$E$5:$E$504,"true"))</x:f>
      </x:c>
      <x:c r="L198" s="21" t="str">
        <x:f>IF(A198="","",AND(I198=FALSE,J198=TRUE,K198&lt;=1))</x:f>
      </x:c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 t="str">
        <x:f>IF(A199="","",COUNTIF($A$5:$A$504,A199)&gt;1)</x:f>
      </x:c>
      <x:c r="J199" s="21" t="str">
        <x:f>IF(B199="","",COUNTIF('任务记录'!$A$5:$A$104,B199)=1)</x:f>
      </x:c>
      <x:c r="K199" s="21" t="str">
        <x:f>IF(B199="","",COUNTIFS($B$5:$B$504,B199,$E$5:$E$504,"true"))</x:f>
      </x:c>
      <x:c r="L199" s="21" t="str">
        <x:f>IF(A199="","",AND(I199=FALSE,J199=TRUE,K199&lt;=1))</x:f>
      </x:c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 t="str">
        <x:f>IF(A200="","",COUNTIF($A$5:$A$504,A200)&gt;1)</x:f>
      </x:c>
      <x:c r="J200" s="21" t="str">
        <x:f>IF(B200="","",COUNTIF('任务记录'!$A$5:$A$104,B200)=1)</x:f>
      </x:c>
      <x:c r="K200" s="21" t="str">
        <x:f>IF(B200="","",COUNTIFS($B$5:$B$504,B200,$E$5:$E$504,"true"))</x:f>
      </x:c>
      <x:c r="L200" s="21" t="str">
        <x:f>IF(A200="","",AND(I200=FALSE,J200=TRUE,K200&lt;=1))</x:f>
      </x:c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 t="str">
        <x:f>IF(A201="","",COUNTIF($A$5:$A$504,A201)&gt;1)</x:f>
      </x:c>
      <x:c r="J201" s="21" t="str">
        <x:f>IF(B201="","",COUNTIF('任务记录'!$A$5:$A$104,B201)=1)</x:f>
      </x:c>
      <x:c r="K201" s="21" t="str">
        <x:f>IF(B201="","",COUNTIFS($B$5:$B$504,B201,$E$5:$E$504,"true"))</x:f>
      </x:c>
      <x:c r="L201" s="21" t="str">
        <x:f>IF(A201="","",AND(I201=FALSE,J201=TRUE,K201&lt;=1))</x:f>
      </x:c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 t="str">
        <x:f>IF(A202="","",COUNTIF($A$5:$A$504,A202)&gt;1)</x:f>
      </x:c>
      <x:c r="J202" s="21" t="str">
        <x:f>IF(B202="","",COUNTIF('任务记录'!$A$5:$A$104,B202)=1)</x:f>
      </x:c>
      <x:c r="K202" s="21" t="str">
        <x:f>IF(B202="","",COUNTIFS($B$5:$B$504,B202,$E$5:$E$504,"true"))</x:f>
      </x:c>
      <x:c r="L202" s="21" t="str">
        <x:f>IF(A202="","",AND(I202=FALSE,J202=TRUE,K202&lt;=1))</x:f>
      </x:c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 t="str">
        <x:f>IF(A203="","",COUNTIF($A$5:$A$504,A203)&gt;1)</x:f>
      </x:c>
      <x:c r="J203" s="21" t="str">
        <x:f>IF(B203="","",COUNTIF('任务记录'!$A$5:$A$104,B203)=1)</x:f>
      </x:c>
      <x:c r="K203" s="21" t="str">
        <x:f>IF(B203="","",COUNTIFS($B$5:$B$504,B203,$E$5:$E$504,"true"))</x:f>
      </x:c>
      <x:c r="L203" s="21" t="str">
        <x:f>IF(A203="","",AND(I203=FALSE,J203=TRUE,K203&lt;=1))</x:f>
      </x:c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 t="str">
        <x:f>IF(A204="","",COUNTIF($A$5:$A$504,A204)&gt;1)</x:f>
      </x:c>
      <x:c r="J204" s="21" t="str">
        <x:f>IF(B204="","",COUNTIF('任务记录'!$A$5:$A$104,B204)=1)</x:f>
      </x:c>
      <x:c r="K204" s="21" t="str">
        <x:f>IF(B204="","",COUNTIFS($B$5:$B$504,B204,$E$5:$E$504,"true"))</x:f>
      </x:c>
      <x:c r="L204" s="21" t="str">
        <x:f>IF(A204="","",AND(I204=FALSE,J204=TRUE,K204&lt;=1))</x:f>
      </x:c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 t="str">
        <x:f>IF(A205="","",COUNTIF($A$5:$A$504,A205)&gt;1)</x:f>
      </x:c>
      <x:c r="J205" s="21" t="str">
        <x:f>IF(B205="","",COUNTIF('任务记录'!$A$5:$A$104,B205)=1)</x:f>
      </x:c>
      <x:c r="K205" s="21" t="str">
        <x:f>IF(B205="","",COUNTIFS($B$5:$B$504,B205,$E$5:$E$504,"true"))</x:f>
      </x:c>
      <x:c r="L205" s="21" t="str">
        <x:f>IF(A205="","",AND(I205=FALSE,J205=TRUE,K205&lt;=1))</x:f>
      </x:c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 t="str">
        <x:f>IF(A206="","",COUNTIF($A$5:$A$504,A206)&gt;1)</x:f>
      </x:c>
      <x:c r="J206" s="21" t="str">
        <x:f>IF(B206="","",COUNTIF('任务记录'!$A$5:$A$104,B206)=1)</x:f>
      </x:c>
      <x:c r="K206" s="21" t="str">
        <x:f>IF(B206="","",COUNTIFS($B$5:$B$504,B206,$E$5:$E$504,"true"))</x:f>
      </x:c>
      <x:c r="L206" s="21" t="str">
        <x:f>IF(A206="","",AND(I206=FALSE,J206=TRUE,K206&lt;=1))</x:f>
      </x:c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 t="str">
        <x:f>IF(A207="","",COUNTIF($A$5:$A$504,A207)&gt;1)</x:f>
      </x:c>
      <x:c r="J207" s="21" t="str">
        <x:f>IF(B207="","",COUNTIF('任务记录'!$A$5:$A$104,B207)=1)</x:f>
      </x:c>
      <x:c r="K207" s="21" t="str">
        <x:f>IF(B207="","",COUNTIFS($B$5:$B$504,B207,$E$5:$E$504,"true"))</x:f>
      </x:c>
      <x:c r="L207" s="21" t="str">
        <x:f>IF(A207="","",AND(I207=FALSE,J207=TRUE,K207&lt;=1))</x:f>
      </x:c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 t="str">
        <x:f>IF(A208="","",COUNTIF($A$5:$A$504,A208)&gt;1)</x:f>
      </x:c>
      <x:c r="J208" s="21" t="str">
        <x:f>IF(B208="","",COUNTIF('任务记录'!$A$5:$A$104,B208)=1)</x:f>
      </x:c>
      <x:c r="K208" s="21" t="str">
        <x:f>IF(B208="","",COUNTIFS($B$5:$B$504,B208,$E$5:$E$504,"true"))</x:f>
      </x:c>
      <x:c r="L208" s="21" t="str">
        <x:f>IF(A208="","",AND(I208=FALSE,J208=TRUE,K208&lt;=1))</x:f>
      </x:c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 t="str">
        <x:f>IF(A209="","",COUNTIF($A$5:$A$504,A209)&gt;1)</x:f>
      </x:c>
      <x:c r="J209" s="21" t="str">
        <x:f>IF(B209="","",COUNTIF('任务记录'!$A$5:$A$104,B209)=1)</x:f>
      </x:c>
      <x:c r="K209" s="21" t="str">
        <x:f>IF(B209="","",COUNTIFS($B$5:$B$504,B209,$E$5:$E$504,"true"))</x:f>
      </x:c>
      <x:c r="L209" s="21" t="str">
        <x:f>IF(A209="","",AND(I209=FALSE,J209=TRUE,K209&lt;=1))</x:f>
      </x:c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 t="str">
        <x:f>IF(A210="","",COUNTIF($A$5:$A$504,A210)&gt;1)</x:f>
      </x:c>
      <x:c r="J210" s="21" t="str">
        <x:f>IF(B210="","",COUNTIF('任务记录'!$A$5:$A$104,B210)=1)</x:f>
      </x:c>
      <x:c r="K210" s="21" t="str">
        <x:f>IF(B210="","",COUNTIFS($B$5:$B$504,B210,$E$5:$E$504,"true"))</x:f>
      </x:c>
      <x:c r="L210" s="21" t="str">
        <x:f>IF(A210="","",AND(I210=FALSE,J210=TRUE,K210&lt;=1))</x:f>
      </x:c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 t="str">
        <x:f>IF(A211="","",COUNTIF($A$5:$A$504,A211)&gt;1)</x:f>
      </x:c>
      <x:c r="J211" s="21" t="str">
        <x:f>IF(B211="","",COUNTIF('任务记录'!$A$5:$A$104,B211)=1)</x:f>
      </x:c>
      <x:c r="K211" s="21" t="str">
        <x:f>IF(B211="","",COUNTIFS($B$5:$B$504,B211,$E$5:$E$504,"true"))</x:f>
      </x:c>
      <x:c r="L211" s="21" t="str">
        <x:f>IF(A211="","",AND(I211=FALSE,J211=TRUE,K211&lt;=1))</x:f>
      </x:c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 t="str">
        <x:f>IF(A212="","",COUNTIF($A$5:$A$504,A212)&gt;1)</x:f>
      </x:c>
      <x:c r="J212" s="21" t="str">
        <x:f>IF(B212="","",COUNTIF('任务记录'!$A$5:$A$104,B212)=1)</x:f>
      </x:c>
      <x:c r="K212" s="21" t="str">
        <x:f>IF(B212="","",COUNTIFS($B$5:$B$504,B212,$E$5:$E$504,"true"))</x:f>
      </x:c>
      <x:c r="L212" s="21" t="str">
        <x:f>IF(A212="","",AND(I212=FALSE,J212=TRUE,K212&lt;=1))</x:f>
      </x:c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 t="str">
        <x:f>IF(A213="","",COUNTIF($A$5:$A$504,A213)&gt;1)</x:f>
      </x:c>
      <x:c r="J213" s="21" t="str">
        <x:f>IF(B213="","",COUNTIF('任务记录'!$A$5:$A$104,B213)=1)</x:f>
      </x:c>
      <x:c r="K213" s="21" t="str">
        <x:f>IF(B213="","",COUNTIFS($B$5:$B$504,B213,$E$5:$E$504,"true"))</x:f>
      </x:c>
      <x:c r="L213" s="21" t="str">
        <x:f>IF(A213="","",AND(I213=FALSE,J213=TRUE,K213&lt;=1))</x:f>
      </x:c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 t="str">
        <x:f>IF(A214="","",COUNTIF($A$5:$A$504,A214)&gt;1)</x:f>
      </x:c>
      <x:c r="J214" s="21" t="str">
        <x:f>IF(B214="","",COUNTIF('任务记录'!$A$5:$A$104,B214)=1)</x:f>
      </x:c>
      <x:c r="K214" s="21" t="str">
        <x:f>IF(B214="","",COUNTIFS($B$5:$B$504,B214,$E$5:$E$504,"true"))</x:f>
      </x:c>
      <x:c r="L214" s="21" t="str">
        <x:f>IF(A214="","",AND(I214=FALSE,J214=TRUE,K214&lt;=1))</x:f>
      </x:c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 t="str">
        <x:f>IF(A215="","",COUNTIF($A$5:$A$504,A215)&gt;1)</x:f>
      </x:c>
      <x:c r="J215" s="21" t="str">
        <x:f>IF(B215="","",COUNTIF('任务记录'!$A$5:$A$104,B215)=1)</x:f>
      </x:c>
      <x:c r="K215" s="21" t="str">
        <x:f>IF(B215="","",COUNTIFS($B$5:$B$504,B215,$E$5:$E$504,"true"))</x:f>
      </x:c>
      <x:c r="L215" s="21" t="str">
        <x:f>IF(A215="","",AND(I215=FALSE,J215=TRUE,K215&lt;=1))</x:f>
      </x:c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 t="str">
        <x:f>IF(A216="","",COUNTIF($A$5:$A$504,A216)&gt;1)</x:f>
      </x:c>
      <x:c r="J216" s="21" t="str">
        <x:f>IF(B216="","",COUNTIF('任务记录'!$A$5:$A$104,B216)=1)</x:f>
      </x:c>
      <x:c r="K216" s="21" t="str">
        <x:f>IF(B216="","",COUNTIFS($B$5:$B$504,B216,$E$5:$E$504,"true"))</x:f>
      </x:c>
      <x:c r="L216" s="21" t="str">
        <x:f>IF(A216="","",AND(I216=FALSE,J216=TRUE,K216&lt;=1))</x:f>
      </x:c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 t="str">
        <x:f>IF(A217="","",COUNTIF($A$5:$A$504,A217)&gt;1)</x:f>
      </x:c>
      <x:c r="J217" s="21" t="str">
        <x:f>IF(B217="","",COUNTIF('任务记录'!$A$5:$A$104,B217)=1)</x:f>
      </x:c>
      <x:c r="K217" s="21" t="str">
        <x:f>IF(B217="","",COUNTIFS($B$5:$B$504,B217,$E$5:$E$504,"true"))</x:f>
      </x:c>
      <x:c r="L217" s="21" t="str">
        <x:f>IF(A217="","",AND(I217=FALSE,J217=TRUE,K217&lt;=1))</x:f>
      </x:c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 t="str">
        <x:f>IF(A218="","",COUNTIF($A$5:$A$504,A218)&gt;1)</x:f>
      </x:c>
      <x:c r="J218" s="21" t="str">
        <x:f>IF(B218="","",COUNTIF('任务记录'!$A$5:$A$104,B218)=1)</x:f>
      </x:c>
      <x:c r="K218" s="21" t="str">
        <x:f>IF(B218="","",COUNTIFS($B$5:$B$504,B218,$E$5:$E$504,"true"))</x:f>
      </x:c>
      <x:c r="L218" s="21" t="str">
        <x:f>IF(A218="","",AND(I218=FALSE,J218=TRUE,K218&lt;=1))</x:f>
      </x:c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 t="str">
        <x:f>IF(A219="","",COUNTIF($A$5:$A$504,A219)&gt;1)</x:f>
      </x:c>
      <x:c r="J219" s="21" t="str">
        <x:f>IF(B219="","",COUNTIF('任务记录'!$A$5:$A$104,B219)=1)</x:f>
      </x:c>
      <x:c r="K219" s="21" t="str">
        <x:f>IF(B219="","",COUNTIFS($B$5:$B$504,B219,$E$5:$E$504,"true"))</x:f>
      </x:c>
      <x:c r="L219" s="21" t="str">
        <x:f>IF(A219="","",AND(I219=FALSE,J219=TRUE,K219&lt;=1))</x:f>
      </x:c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 t="str">
        <x:f>IF(A220="","",COUNTIF($A$5:$A$504,A220)&gt;1)</x:f>
      </x:c>
      <x:c r="J220" s="21" t="str">
        <x:f>IF(B220="","",COUNTIF('任务记录'!$A$5:$A$104,B220)=1)</x:f>
      </x:c>
      <x:c r="K220" s="21" t="str">
        <x:f>IF(B220="","",COUNTIFS($B$5:$B$504,B220,$E$5:$E$504,"true"))</x:f>
      </x:c>
      <x:c r="L220" s="21" t="str">
        <x:f>IF(A220="","",AND(I220=FALSE,J220=TRUE,K220&lt;=1))</x:f>
      </x:c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 t="str">
        <x:f>IF(A221="","",COUNTIF($A$5:$A$504,A221)&gt;1)</x:f>
      </x:c>
      <x:c r="J221" s="21" t="str">
        <x:f>IF(B221="","",COUNTIF('任务记录'!$A$5:$A$104,B221)=1)</x:f>
      </x:c>
      <x:c r="K221" s="21" t="str">
        <x:f>IF(B221="","",COUNTIFS($B$5:$B$504,B221,$E$5:$E$504,"true"))</x:f>
      </x:c>
      <x:c r="L221" s="21" t="str">
        <x:f>IF(A221="","",AND(I221=FALSE,J221=TRUE,K221&lt;=1))</x:f>
      </x:c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 t="str">
        <x:f>IF(A222="","",COUNTIF($A$5:$A$504,A222)&gt;1)</x:f>
      </x:c>
      <x:c r="J222" s="21" t="str">
        <x:f>IF(B222="","",COUNTIF('任务记录'!$A$5:$A$104,B222)=1)</x:f>
      </x:c>
      <x:c r="K222" s="21" t="str">
        <x:f>IF(B222="","",COUNTIFS($B$5:$B$504,B222,$E$5:$E$504,"true"))</x:f>
      </x:c>
      <x:c r="L222" s="21" t="str">
        <x:f>IF(A222="","",AND(I222=FALSE,J222=TRUE,K222&lt;=1))</x:f>
      </x:c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 t="str">
        <x:f>IF(A223="","",COUNTIF($A$5:$A$504,A223)&gt;1)</x:f>
      </x:c>
      <x:c r="J223" s="21" t="str">
        <x:f>IF(B223="","",COUNTIF('任务记录'!$A$5:$A$104,B223)=1)</x:f>
      </x:c>
      <x:c r="K223" s="21" t="str">
        <x:f>IF(B223="","",COUNTIFS($B$5:$B$504,B223,$E$5:$E$504,"true"))</x:f>
      </x:c>
      <x:c r="L223" s="21" t="str">
        <x:f>IF(A223="","",AND(I223=FALSE,J223=TRUE,K223&lt;=1))</x:f>
      </x:c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 t="str">
        <x:f>IF(A224="","",COUNTIF($A$5:$A$504,A224)&gt;1)</x:f>
      </x:c>
      <x:c r="J224" s="21" t="str">
        <x:f>IF(B224="","",COUNTIF('任务记录'!$A$5:$A$104,B224)=1)</x:f>
      </x:c>
      <x:c r="K224" s="21" t="str">
        <x:f>IF(B224="","",COUNTIFS($B$5:$B$504,B224,$E$5:$E$504,"true"))</x:f>
      </x:c>
      <x:c r="L224" s="21" t="str">
        <x:f>IF(A224="","",AND(I224=FALSE,J224=TRUE,K224&lt;=1))</x:f>
      </x:c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 t="str">
        <x:f>IF(A225="","",COUNTIF($A$5:$A$504,A225)&gt;1)</x:f>
      </x:c>
      <x:c r="J225" s="21" t="str">
        <x:f>IF(B225="","",COUNTIF('任务记录'!$A$5:$A$104,B225)=1)</x:f>
      </x:c>
      <x:c r="K225" s="21" t="str">
        <x:f>IF(B225="","",COUNTIFS($B$5:$B$504,B225,$E$5:$E$504,"true"))</x:f>
      </x:c>
      <x:c r="L225" s="21" t="str">
        <x:f>IF(A225="","",AND(I225=FALSE,J225=TRUE,K225&lt;=1))</x:f>
      </x:c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 t="str">
        <x:f>IF(A226="","",COUNTIF($A$5:$A$504,A226)&gt;1)</x:f>
      </x:c>
      <x:c r="J226" s="21" t="str">
        <x:f>IF(B226="","",COUNTIF('任务记录'!$A$5:$A$104,B226)=1)</x:f>
      </x:c>
      <x:c r="K226" s="21" t="str">
        <x:f>IF(B226="","",COUNTIFS($B$5:$B$504,B226,$E$5:$E$504,"true"))</x:f>
      </x:c>
      <x:c r="L226" s="21" t="str">
        <x:f>IF(A226="","",AND(I226=FALSE,J226=TRUE,K226&lt;=1))</x:f>
      </x:c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 t="str">
        <x:f>IF(A227="","",COUNTIF($A$5:$A$504,A227)&gt;1)</x:f>
      </x:c>
      <x:c r="J227" s="21" t="str">
        <x:f>IF(B227="","",COUNTIF('任务记录'!$A$5:$A$104,B227)=1)</x:f>
      </x:c>
      <x:c r="K227" s="21" t="str">
        <x:f>IF(B227="","",COUNTIFS($B$5:$B$504,B227,$E$5:$E$504,"true"))</x:f>
      </x:c>
      <x:c r="L227" s="21" t="str">
        <x:f>IF(A227="","",AND(I227=FALSE,J227=TRUE,K227&lt;=1))</x:f>
      </x:c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 t="str">
        <x:f>IF(A228="","",COUNTIF($A$5:$A$504,A228)&gt;1)</x:f>
      </x:c>
      <x:c r="J228" s="21" t="str">
        <x:f>IF(B228="","",COUNTIF('任务记录'!$A$5:$A$104,B228)=1)</x:f>
      </x:c>
      <x:c r="K228" s="21" t="str">
        <x:f>IF(B228="","",COUNTIFS($B$5:$B$504,B228,$E$5:$E$504,"true"))</x:f>
      </x:c>
      <x:c r="L228" s="21" t="str">
        <x:f>IF(A228="","",AND(I228=FALSE,J228=TRUE,K228&lt;=1))</x:f>
      </x:c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 t="str">
        <x:f>IF(A229="","",COUNTIF($A$5:$A$504,A229)&gt;1)</x:f>
      </x:c>
      <x:c r="J229" s="21" t="str">
        <x:f>IF(B229="","",COUNTIF('任务记录'!$A$5:$A$104,B229)=1)</x:f>
      </x:c>
      <x:c r="K229" s="21" t="str">
        <x:f>IF(B229="","",COUNTIFS($B$5:$B$504,B229,$E$5:$E$504,"true"))</x:f>
      </x:c>
      <x:c r="L229" s="21" t="str">
        <x:f>IF(A229="","",AND(I229=FALSE,J229=TRUE,K229&lt;=1))</x:f>
      </x:c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 t="str">
        <x:f>IF(A230="","",COUNTIF($A$5:$A$504,A230)&gt;1)</x:f>
      </x:c>
      <x:c r="J230" s="21" t="str">
        <x:f>IF(B230="","",COUNTIF('任务记录'!$A$5:$A$104,B230)=1)</x:f>
      </x:c>
      <x:c r="K230" s="21" t="str">
        <x:f>IF(B230="","",COUNTIFS($B$5:$B$504,B230,$E$5:$E$504,"true"))</x:f>
      </x:c>
      <x:c r="L230" s="21" t="str">
        <x:f>IF(A230="","",AND(I230=FALSE,J230=TRUE,K230&lt;=1))</x:f>
      </x:c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 t="str">
        <x:f>IF(A231="","",COUNTIF($A$5:$A$504,A231)&gt;1)</x:f>
      </x:c>
      <x:c r="J231" s="21" t="str">
        <x:f>IF(B231="","",COUNTIF('任务记录'!$A$5:$A$104,B231)=1)</x:f>
      </x:c>
      <x:c r="K231" s="21" t="str">
        <x:f>IF(B231="","",COUNTIFS($B$5:$B$504,B231,$E$5:$E$504,"true"))</x:f>
      </x:c>
      <x:c r="L231" s="21" t="str">
        <x:f>IF(A231="","",AND(I231=FALSE,J231=TRUE,K231&lt;=1))</x:f>
      </x:c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 t="str">
        <x:f>IF(A232="","",COUNTIF($A$5:$A$504,A232)&gt;1)</x:f>
      </x:c>
      <x:c r="J232" s="21" t="str">
        <x:f>IF(B232="","",COUNTIF('任务记录'!$A$5:$A$104,B232)=1)</x:f>
      </x:c>
      <x:c r="K232" s="21" t="str">
        <x:f>IF(B232="","",COUNTIFS($B$5:$B$504,B232,$E$5:$E$504,"true"))</x:f>
      </x:c>
      <x:c r="L232" s="21" t="str">
        <x:f>IF(A232="","",AND(I232=FALSE,J232=TRUE,K232&lt;=1))</x:f>
      </x:c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 t="str">
        <x:f>IF(A233="","",COUNTIF($A$5:$A$504,A233)&gt;1)</x:f>
      </x:c>
      <x:c r="J233" s="21" t="str">
        <x:f>IF(B233="","",COUNTIF('任务记录'!$A$5:$A$104,B233)=1)</x:f>
      </x:c>
      <x:c r="K233" s="21" t="str">
        <x:f>IF(B233="","",COUNTIFS($B$5:$B$504,B233,$E$5:$E$504,"true"))</x:f>
      </x:c>
      <x:c r="L233" s="21" t="str">
        <x:f>IF(A233="","",AND(I233=FALSE,J233=TRUE,K233&lt;=1))</x:f>
      </x:c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 t="str">
        <x:f>IF(A234="","",COUNTIF($A$5:$A$504,A234)&gt;1)</x:f>
      </x:c>
      <x:c r="J234" s="21" t="str">
        <x:f>IF(B234="","",COUNTIF('任务记录'!$A$5:$A$104,B234)=1)</x:f>
      </x:c>
      <x:c r="K234" s="21" t="str">
        <x:f>IF(B234="","",COUNTIFS($B$5:$B$504,B234,$E$5:$E$504,"true"))</x:f>
      </x:c>
      <x:c r="L234" s="21" t="str">
        <x:f>IF(A234="","",AND(I234=FALSE,J234=TRUE,K234&lt;=1))</x:f>
      </x:c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 t="str">
        <x:f>IF(A235="","",COUNTIF($A$5:$A$504,A235)&gt;1)</x:f>
      </x:c>
      <x:c r="J235" s="21" t="str">
        <x:f>IF(B235="","",COUNTIF('任务记录'!$A$5:$A$104,B235)=1)</x:f>
      </x:c>
      <x:c r="K235" s="21" t="str">
        <x:f>IF(B235="","",COUNTIFS($B$5:$B$504,B235,$E$5:$E$504,"true"))</x:f>
      </x:c>
      <x:c r="L235" s="21" t="str">
        <x:f>IF(A235="","",AND(I235=FALSE,J235=TRUE,K235&lt;=1))</x:f>
      </x:c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 t="str">
        <x:f>IF(A236="","",COUNTIF($A$5:$A$504,A236)&gt;1)</x:f>
      </x:c>
      <x:c r="J236" s="21" t="str">
        <x:f>IF(B236="","",COUNTIF('任务记录'!$A$5:$A$104,B236)=1)</x:f>
      </x:c>
      <x:c r="K236" s="21" t="str">
        <x:f>IF(B236="","",COUNTIFS($B$5:$B$504,B236,$E$5:$E$504,"true"))</x:f>
      </x:c>
      <x:c r="L236" s="21" t="str">
        <x:f>IF(A236="","",AND(I236=FALSE,J236=TRUE,K236&lt;=1))</x:f>
      </x:c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 t="str">
        <x:f>IF(A237="","",COUNTIF($A$5:$A$504,A237)&gt;1)</x:f>
      </x:c>
      <x:c r="J237" s="21" t="str">
        <x:f>IF(B237="","",COUNTIF('任务记录'!$A$5:$A$104,B237)=1)</x:f>
      </x:c>
      <x:c r="K237" s="21" t="str">
        <x:f>IF(B237="","",COUNTIFS($B$5:$B$504,B237,$E$5:$E$504,"true"))</x:f>
      </x:c>
      <x:c r="L237" s="21" t="str">
        <x:f>IF(A237="","",AND(I237=FALSE,J237=TRUE,K237&lt;=1))</x:f>
      </x:c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 t="str">
        <x:f>IF(A238="","",COUNTIF($A$5:$A$504,A238)&gt;1)</x:f>
      </x:c>
      <x:c r="J238" s="21" t="str">
        <x:f>IF(B238="","",COUNTIF('任务记录'!$A$5:$A$104,B238)=1)</x:f>
      </x:c>
      <x:c r="K238" s="21" t="str">
        <x:f>IF(B238="","",COUNTIFS($B$5:$B$504,B238,$E$5:$E$504,"true"))</x:f>
      </x:c>
      <x:c r="L238" s="21" t="str">
        <x:f>IF(A238="","",AND(I238=FALSE,J238=TRUE,K238&lt;=1))</x:f>
      </x:c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 t="str">
        <x:f>IF(A239="","",COUNTIF($A$5:$A$504,A239)&gt;1)</x:f>
      </x:c>
      <x:c r="J239" s="21" t="str">
        <x:f>IF(B239="","",COUNTIF('任务记录'!$A$5:$A$104,B239)=1)</x:f>
      </x:c>
      <x:c r="K239" s="21" t="str">
        <x:f>IF(B239="","",COUNTIFS($B$5:$B$504,B239,$E$5:$E$504,"true"))</x:f>
      </x:c>
      <x:c r="L239" s="21" t="str">
        <x:f>IF(A239="","",AND(I239=FALSE,J239=TRUE,K239&lt;=1))</x:f>
      </x:c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 t="str">
        <x:f>IF(A240="","",COUNTIF($A$5:$A$504,A240)&gt;1)</x:f>
      </x:c>
      <x:c r="J240" s="21" t="str">
        <x:f>IF(B240="","",COUNTIF('任务记录'!$A$5:$A$104,B240)=1)</x:f>
      </x:c>
      <x:c r="K240" s="21" t="str">
        <x:f>IF(B240="","",COUNTIFS($B$5:$B$504,B240,$E$5:$E$504,"true"))</x:f>
      </x:c>
      <x:c r="L240" s="21" t="str">
        <x:f>IF(A240="","",AND(I240=FALSE,J240=TRUE,K240&lt;=1))</x:f>
      </x:c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 t="str">
        <x:f>IF(A241="","",COUNTIF($A$5:$A$504,A241)&gt;1)</x:f>
      </x:c>
      <x:c r="J241" s="21" t="str">
        <x:f>IF(B241="","",COUNTIF('任务记录'!$A$5:$A$104,B241)=1)</x:f>
      </x:c>
      <x:c r="K241" s="21" t="str">
        <x:f>IF(B241="","",COUNTIFS($B$5:$B$504,B241,$E$5:$E$504,"true"))</x:f>
      </x:c>
      <x:c r="L241" s="21" t="str">
        <x:f>IF(A241="","",AND(I241=FALSE,J241=TRUE,K241&lt;=1))</x:f>
      </x:c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 t="str">
        <x:f>IF(A242="","",COUNTIF($A$5:$A$504,A242)&gt;1)</x:f>
      </x:c>
      <x:c r="J242" s="21" t="str">
        <x:f>IF(B242="","",COUNTIF('任务记录'!$A$5:$A$104,B242)=1)</x:f>
      </x:c>
      <x:c r="K242" s="21" t="str">
        <x:f>IF(B242="","",COUNTIFS($B$5:$B$504,B242,$E$5:$E$504,"true"))</x:f>
      </x:c>
      <x:c r="L242" s="21" t="str">
        <x:f>IF(A242="","",AND(I242=FALSE,J242=TRUE,K242&lt;=1))</x:f>
      </x:c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 t="str">
        <x:f>IF(A243="","",COUNTIF($A$5:$A$504,A243)&gt;1)</x:f>
      </x:c>
      <x:c r="J243" s="21" t="str">
        <x:f>IF(B243="","",COUNTIF('任务记录'!$A$5:$A$104,B243)=1)</x:f>
      </x:c>
      <x:c r="K243" s="21" t="str">
        <x:f>IF(B243="","",COUNTIFS($B$5:$B$504,B243,$E$5:$E$504,"true"))</x:f>
      </x:c>
      <x:c r="L243" s="21" t="str">
        <x:f>IF(A243="","",AND(I243=FALSE,J243=TRUE,K243&lt;=1))</x:f>
      </x:c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 t="str">
        <x:f>IF(A244="","",COUNTIF($A$5:$A$504,A244)&gt;1)</x:f>
      </x:c>
      <x:c r="J244" s="21" t="str">
        <x:f>IF(B244="","",COUNTIF('任务记录'!$A$5:$A$104,B244)=1)</x:f>
      </x:c>
      <x:c r="K244" s="21" t="str">
        <x:f>IF(B244="","",COUNTIFS($B$5:$B$504,B244,$E$5:$E$504,"true"))</x:f>
      </x:c>
      <x:c r="L244" s="21" t="str">
        <x:f>IF(A244="","",AND(I244=FALSE,J244=TRUE,K244&lt;=1))</x:f>
      </x:c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 t="str">
        <x:f>IF(A245="","",COUNTIF($A$5:$A$504,A245)&gt;1)</x:f>
      </x:c>
      <x:c r="J245" s="21" t="str">
        <x:f>IF(B245="","",COUNTIF('任务记录'!$A$5:$A$104,B245)=1)</x:f>
      </x:c>
      <x:c r="K245" s="21" t="str">
        <x:f>IF(B245="","",COUNTIFS($B$5:$B$504,B245,$E$5:$E$504,"true"))</x:f>
      </x:c>
      <x:c r="L245" s="21" t="str">
        <x:f>IF(A245="","",AND(I245=FALSE,J245=TRUE,K245&lt;=1))</x:f>
      </x:c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 t="str">
        <x:f>IF(A246="","",COUNTIF($A$5:$A$504,A246)&gt;1)</x:f>
      </x:c>
      <x:c r="J246" s="21" t="str">
        <x:f>IF(B246="","",COUNTIF('任务记录'!$A$5:$A$104,B246)=1)</x:f>
      </x:c>
      <x:c r="K246" s="21" t="str">
        <x:f>IF(B246="","",COUNTIFS($B$5:$B$504,B246,$E$5:$E$504,"true"))</x:f>
      </x:c>
      <x:c r="L246" s="21" t="str">
        <x:f>IF(A246="","",AND(I246=FALSE,J246=TRUE,K246&lt;=1))</x:f>
      </x:c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 t="str">
        <x:f>IF(A247="","",COUNTIF($A$5:$A$504,A247)&gt;1)</x:f>
      </x:c>
      <x:c r="J247" s="21" t="str">
        <x:f>IF(B247="","",COUNTIF('任务记录'!$A$5:$A$104,B247)=1)</x:f>
      </x:c>
      <x:c r="K247" s="21" t="str">
        <x:f>IF(B247="","",COUNTIFS($B$5:$B$504,B247,$E$5:$E$504,"true"))</x:f>
      </x:c>
      <x:c r="L247" s="21" t="str">
        <x:f>IF(A247="","",AND(I247=FALSE,J247=TRUE,K247&lt;=1))</x:f>
      </x:c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 t="str">
        <x:f>IF(A248="","",COUNTIF($A$5:$A$504,A248)&gt;1)</x:f>
      </x:c>
      <x:c r="J248" s="21" t="str">
        <x:f>IF(B248="","",COUNTIF('任务记录'!$A$5:$A$104,B248)=1)</x:f>
      </x:c>
      <x:c r="K248" s="21" t="str">
        <x:f>IF(B248="","",COUNTIFS($B$5:$B$504,B248,$E$5:$E$504,"true"))</x:f>
      </x:c>
      <x:c r="L248" s="21" t="str">
        <x:f>IF(A248="","",AND(I248=FALSE,J248=TRUE,K248&lt;=1))</x:f>
      </x:c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 t="str">
        <x:f>IF(A249="","",COUNTIF($A$5:$A$504,A249)&gt;1)</x:f>
      </x:c>
      <x:c r="J249" s="21" t="str">
        <x:f>IF(B249="","",COUNTIF('任务记录'!$A$5:$A$104,B249)=1)</x:f>
      </x:c>
      <x:c r="K249" s="21" t="str">
        <x:f>IF(B249="","",COUNTIFS($B$5:$B$504,B249,$E$5:$E$504,"true"))</x:f>
      </x:c>
      <x:c r="L249" s="21" t="str">
        <x:f>IF(A249="","",AND(I249=FALSE,J249=TRUE,K249&lt;=1))</x:f>
      </x:c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 t="str">
        <x:f>IF(A250="","",COUNTIF($A$5:$A$504,A250)&gt;1)</x:f>
      </x:c>
      <x:c r="J250" s="21" t="str">
        <x:f>IF(B250="","",COUNTIF('任务记录'!$A$5:$A$104,B250)=1)</x:f>
      </x:c>
      <x:c r="K250" s="21" t="str">
        <x:f>IF(B250="","",COUNTIFS($B$5:$B$504,B250,$E$5:$E$504,"true"))</x:f>
      </x:c>
      <x:c r="L250" s="21" t="str">
        <x:f>IF(A250="","",AND(I250=FALSE,J250=TRUE,K250&lt;=1))</x:f>
      </x:c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 t="str">
        <x:f>IF(A251="","",COUNTIF($A$5:$A$504,A251)&gt;1)</x:f>
      </x:c>
      <x:c r="J251" s="21" t="str">
        <x:f>IF(B251="","",COUNTIF('任务记录'!$A$5:$A$104,B251)=1)</x:f>
      </x:c>
      <x:c r="K251" s="21" t="str">
        <x:f>IF(B251="","",COUNTIFS($B$5:$B$504,B251,$E$5:$E$504,"true"))</x:f>
      </x:c>
      <x:c r="L251" s="21" t="str">
        <x:f>IF(A251="","",AND(I251=FALSE,J251=TRUE,K251&lt;=1))</x:f>
      </x:c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 t="str">
        <x:f>IF(A252="","",COUNTIF($A$5:$A$504,A252)&gt;1)</x:f>
      </x:c>
      <x:c r="J252" s="21" t="str">
        <x:f>IF(B252="","",COUNTIF('任务记录'!$A$5:$A$104,B252)=1)</x:f>
      </x:c>
      <x:c r="K252" s="21" t="str">
        <x:f>IF(B252="","",COUNTIFS($B$5:$B$504,B252,$E$5:$E$504,"true"))</x:f>
      </x:c>
      <x:c r="L252" s="21" t="str">
        <x:f>IF(A252="","",AND(I252=FALSE,J252=TRUE,K252&lt;=1))</x:f>
      </x:c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 t="str">
        <x:f>IF(A253="","",COUNTIF($A$5:$A$504,A253)&gt;1)</x:f>
      </x:c>
      <x:c r="J253" s="21" t="str">
        <x:f>IF(B253="","",COUNTIF('任务记录'!$A$5:$A$104,B253)=1)</x:f>
      </x:c>
      <x:c r="K253" s="21" t="str">
        <x:f>IF(B253="","",COUNTIFS($B$5:$B$504,B253,$E$5:$E$504,"true"))</x:f>
      </x:c>
      <x:c r="L253" s="21" t="str">
        <x:f>IF(A253="","",AND(I253=FALSE,J253=TRUE,K253&lt;=1))</x:f>
      </x:c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 t="str">
        <x:f>IF(A254="","",COUNTIF($A$5:$A$504,A254)&gt;1)</x:f>
      </x:c>
      <x:c r="J254" s="21" t="str">
        <x:f>IF(B254="","",COUNTIF('任务记录'!$A$5:$A$104,B254)=1)</x:f>
      </x:c>
      <x:c r="K254" s="21" t="str">
        <x:f>IF(B254="","",COUNTIFS($B$5:$B$504,B254,$E$5:$E$504,"true"))</x:f>
      </x:c>
      <x:c r="L254" s="21" t="str">
        <x:f>IF(A254="","",AND(I254=FALSE,J254=TRUE,K254&lt;=1))</x:f>
      </x:c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 t="str">
        <x:f>IF(A255="","",COUNTIF($A$5:$A$504,A255)&gt;1)</x:f>
      </x:c>
      <x:c r="J255" s="21" t="str">
        <x:f>IF(B255="","",COUNTIF('任务记录'!$A$5:$A$104,B255)=1)</x:f>
      </x:c>
      <x:c r="K255" s="21" t="str">
        <x:f>IF(B255="","",COUNTIFS($B$5:$B$504,B255,$E$5:$E$504,"true"))</x:f>
      </x:c>
      <x:c r="L255" s="21" t="str">
        <x:f>IF(A255="","",AND(I255=FALSE,J255=TRUE,K255&lt;=1))</x:f>
      </x:c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 t="str">
        <x:f>IF(A256="","",COUNTIF($A$5:$A$504,A256)&gt;1)</x:f>
      </x:c>
      <x:c r="J256" s="21" t="str">
        <x:f>IF(B256="","",COUNTIF('任务记录'!$A$5:$A$104,B256)=1)</x:f>
      </x:c>
      <x:c r="K256" s="21" t="str">
        <x:f>IF(B256="","",COUNTIFS($B$5:$B$504,B256,$E$5:$E$504,"true"))</x:f>
      </x:c>
      <x:c r="L256" s="21" t="str">
        <x:f>IF(A256="","",AND(I256=FALSE,J256=TRUE,K256&lt;=1))</x:f>
      </x:c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 t="str">
        <x:f>IF(A257="","",COUNTIF($A$5:$A$504,A257)&gt;1)</x:f>
      </x:c>
      <x:c r="J257" s="21" t="str">
        <x:f>IF(B257="","",COUNTIF('任务记录'!$A$5:$A$104,B257)=1)</x:f>
      </x:c>
      <x:c r="K257" s="21" t="str">
        <x:f>IF(B257="","",COUNTIFS($B$5:$B$504,B257,$E$5:$E$504,"true"))</x:f>
      </x:c>
      <x:c r="L257" s="21" t="str">
        <x:f>IF(A257="","",AND(I257=FALSE,J257=TRUE,K257&lt;=1))</x:f>
      </x:c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 t="str">
        <x:f>IF(A258="","",COUNTIF($A$5:$A$504,A258)&gt;1)</x:f>
      </x:c>
      <x:c r="J258" s="21" t="str">
        <x:f>IF(B258="","",COUNTIF('任务记录'!$A$5:$A$104,B258)=1)</x:f>
      </x:c>
      <x:c r="K258" s="21" t="str">
        <x:f>IF(B258="","",COUNTIFS($B$5:$B$504,B258,$E$5:$E$504,"true"))</x:f>
      </x:c>
      <x:c r="L258" s="21" t="str">
        <x:f>IF(A258="","",AND(I258=FALSE,J258=TRUE,K258&lt;=1))</x:f>
      </x:c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 t="str">
        <x:f>IF(A259="","",COUNTIF($A$5:$A$504,A259)&gt;1)</x:f>
      </x:c>
      <x:c r="J259" s="21" t="str">
        <x:f>IF(B259="","",COUNTIF('任务记录'!$A$5:$A$104,B259)=1)</x:f>
      </x:c>
      <x:c r="K259" s="21" t="str">
        <x:f>IF(B259="","",COUNTIFS($B$5:$B$504,B259,$E$5:$E$504,"true"))</x:f>
      </x:c>
      <x:c r="L259" s="21" t="str">
        <x:f>IF(A259="","",AND(I259=FALSE,J259=TRUE,K259&lt;=1))</x:f>
      </x:c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 t="str">
        <x:f>IF(A260="","",COUNTIF($A$5:$A$504,A260)&gt;1)</x:f>
      </x:c>
      <x:c r="J260" s="21" t="str">
        <x:f>IF(B260="","",COUNTIF('任务记录'!$A$5:$A$104,B260)=1)</x:f>
      </x:c>
      <x:c r="K260" s="21" t="str">
        <x:f>IF(B260="","",COUNTIFS($B$5:$B$504,B260,$E$5:$E$504,"true"))</x:f>
      </x:c>
      <x:c r="L260" s="21" t="str">
        <x:f>IF(A260="","",AND(I260=FALSE,J260=TRUE,K260&lt;=1))</x:f>
      </x:c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 t="str">
        <x:f>IF(A261="","",COUNTIF($A$5:$A$504,A261)&gt;1)</x:f>
      </x:c>
      <x:c r="J261" s="21" t="str">
        <x:f>IF(B261="","",COUNTIF('任务记录'!$A$5:$A$104,B261)=1)</x:f>
      </x:c>
      <x:c r="K261" s="21" t="str">
        <x:f>IF(B261="","",COUNTIFS($B$5:$B$504,B261,$E$5:$E$504,"true"))</x:f>
      </x:c>
      <x:c r="L261" s="21" t="str">
        <x:f>IF(A261="","",AND(I261=FALSE,J261=TRUE,K261&lt;=1))</x:f>
      </x:c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 t="str">
        <x:f>IF(A262="","",COUNTIF($A$5:$A$504,A262)&gt;1)</x:f>
      </x:c>
      <x:c r="J262" s="21" t="str">
        <x:f>IF(B262="","",COUNTIF('任务记录'!$A$5:$A$104,B262)=1)</x:f>
      </x:c>
      <x:c r="K262" s="21" t="str">
        <x:f>IF(B262="","",COUNTIFS($B$5:$B$504,B262,$E$5:$E$504,"true"))</x:f>
      </x:c>
      <x:c r="L262" s="21" t="str">
        <x:f>IF(A262="","",AND(I262=FALSE,J262=TRUE,K262&lt;=1))</x:f>
      </x:c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 t="str">
        <x:f>IF(A263="","",COUNTIF($A$5:$A$504,A263)&gt;1)</x:f>
      </x:c>
      <x:c r="J263" s="21" t="str">
        <x:f>IF(B263="","",COUNTIF('任务记录'!$A$5:$A$104,B263)=1)</x:f>
      </x:c>
      <x:c r="K263" s="21" t="str">
        <x:f>IF(B263="","",COUNTIFS($B$5:$B$504,B263,$E$5:$E$504,"true"))</x:f>
      </x:c>
      <x:c r="L263" s="21" t="str">
        <x:f>IF(A263="","",AND(I263=FALSE,J263=TRUE,K263&lt;=1))</x:f>
      </x:c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 t="str">
        <x:f>IF(A264="","",COUNTIF($A$5:$A$504,A264)&gt;1)</x:f>
      </x:c>
      <x:c r="J264" s="21" t="str">
        <x:f>IF(B264="","",COUNTIF('任务记录'!$A$5:$A$104,B264)=1)</x:f>
      </x:c>
      <x:c r="K264" s="21" t="str">
        <x:f>IF(B264="","",COUNTIFS($B$5:$B$504,B264,$E$5:$E$504,"true"))</x:f>
      </x:c>
      <x:c r="L264" s="21" t="str">
        <x:f>IF(A264="","",AND(I264=FALSE,J264=TRUE,K264&lt;=1))</x:f>
      </x:c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 t="str">
        <x:f>IF(A265="","",COUNTIF($A$5:$A$504,A265)&gt;1)</x:f>
      </x:c>
      <x:c r="J265" s="21" t="str">
        <x:f>IF(B265="","",COUNTIF('任务记录'!$A$5:$A$104,B265)=1)</x:f>
      </x:c>
      <x:c r="K265" s="21" t="str">
        <x:f>IF(B265="","",COUNTIFS($B$5:$B$504,B265,$E$5:$E$504,"true"))</x:f>
      </x:c>
      <x:c r="L265" s="21" t="str">
        <x:f>IF(A265="","",AND(I265=FALSE,J265=TRUE,K265&lt;=1))</x:f>
      </x:c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 t="str">
        <x:f>IF(A266="","",COUNTIF($A$5:$A$504,A266)&gt;1)</x:f>
      </x:c>
      <x:c r="J266" s="21" t="str">
        <x:f>IF(B266="","",COUNTIF('任务记录'!$A$5:$A$104,B266)=1)</x:f>
      </x:c>
      <x:c r="K266" s="21" t="str">
        <x:f>IF(B266="","",COUNTIFS($B$5:$B$504,B266,$E$5:$E$504,"true"))</x:f>
      </x:c>
      <x:c r="L266" s="21" t="str">
        <x:f>IF(A266="","",AND(I266=FALSE,J266=TRUE,K266&lt;=1))</x:f>
      </x:c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 t="str">
        <x:f>IF(A267="","",COUNTIF($A$5:$A$504,A267)&gt;1)</x:f>
      </x:c>
      <x:c r="J267" s="21" t="str">
        <x:f>IF(B267="","",COUNTIF('任务记录'!$A$5:$A$104,B267)=1)</x:f>
      </x:c>
      <x:c r="K267" s="21" t="str">
        <x:f>IF(B267="","",COUNTIFS($B$5:$B$504,B267,$E$5:$E$504,"true"))</x:f>
      </x:c>
      <x:c r="L267" s="21" t="str">
        <x:f>IF(A267="","",AND(I267=FALSE,J267=TRUE,K267&lt;=1))</x:f>
      </x:c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 t="str">
        <x:f>IF(A268="","",COUNTIF($A$5:$A$504,A268)&gt;1)</x:f>
      </x:c>
      <x:c r="J268" s="21" t="str">
        <x:f>IF(B268="","",COUNTIF('任务记录'!$A$5:$A$104,B268)=1)</x:f>
      </x:c>
      <x:c r="K268" s="21" t="str">
        <x:f>IF(B268="","",COUNTIFS($B$5:$B$504,B268,$E$5:$E$504,"true"))</x:f>
      </x:c>
      <x:c r="L268" s="21" t="str">
        <x:f>IF(A268="","",AND(I268=FALSE,J268=TRUE,K268&lt;=1))</x:f>
      </x:c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 t="str">
        <x:f>IF(A269="","",COUNTIF($A$5:$A$504,A269)&gt;1)</x:f>
      </x:c>
      <x:c r="J269" s="21" t="str">
        <x:f>IF(B269="","",COUNTIF('任务记录'!$A$5:$A$104,B269)=1)</x:f>
      </x:c>
      <x:c r="K269" s="21" t="str">
        <x:f>IF(B269="","",COUNTIFS($B$5:$B$504,B269,$E$5:$E$504,"true"))</x:f>
      </x:c>
      <x:c r="L269" s="21" t="str">
        <x:f>IF(A269="","",AND(I269=FALSE,J269=TRUE,K269&lt;=1))</x:f>
      </x:c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 t="str">
        <x:f>IF(A270="","",COUNTIF($A$5:$A$504,A270)&gt;1)</x:f>
      </x:c>
      <x:c r="J270" s="21" t="str">
        <x:f>IF(B270="","",COUNTIF('任务记录'!$A$5:$A$104,B270)=1)</x:f>
      </x:c>
      <x:c r="K270" s="21" t="str">
        <x:f>IF(B270="","",COUNTIFS($B$5:$B$504,B270,$E$5:$E$504,"true"))</x:f>
      </x:c>
      <x:c r="L270" s="21" t="str">
        <x:f>IF(A270="","",AND(I270=FALSE,J270=TRUE,K270&lt;=1))</x:f>
      </x:c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 t="str">
        <x:f>IF(A271="","",COUNTIF($A$5:$A$504,A271)&gt;1)</x:f>
      </x:c>
      <x:c r="J271" s="21" t="str">
        <x:f>IF(B271="","",COUNTIF('任务记录'!$A$5:$A$104,B271)=1)</x:f>
      </x:c>
      <x:c r="K271" s="21" t="str">
        <x:f>IF(B271="","",COUNTIFS($B$5:$B$504,B271,$E$5:$E$504,"true"))</x:f>
      </x:c>
      <x:c r="L271" s="21" t="str">
        <x:f>IF(A271="","",AND(I271=FALSE,J271=TRUE,K271&lt;=1))</x:f>
      </x:c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 t="str">
        <x:f>IF(A272="","",COUNTIF($A$5:$A$504,A272)&gt;1)</x:f>
      </x:c>
      <x:c r="J272" s="21" t="str">
        <x:f>IF(B272="","",COUNTIF('任务记录'!$A$5:$A$104,B272)=1)</x:f>
      </x:c>
      <x:c r="K272" s="21" t="str">
        <x:f>IF(B272="","",COUNTIFS($B$5:$B$504,B272,$E$5:$E$504,"true"))</x:f>
      </x:c>
      <x:c r="L272" s="21" t="str">
        <x:f>IF(A272="","",AND(I272=FALSE,J272=TRUE,K272&lt;=1))</x:f>
      </x:c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 t="str">
        <x:f>IF(A273="","",COUNTIF($A$5:$A$504,A273)&gt;1)</x:f>
      </x:c>
      <x:c r="J273" s="21" t="str">
        <x:f>IF(B273="","",COUNTIF('任务记录'!$A$5:$A$104,B273)=1)</x:f>
      </x:c>
      <x:c r="K273" s="21" t="str">
        <x:f>IF(B273="","",COUNTIFS($B$5:$B$504,B273,$E$5:$E$504,"true"))</x:f>
      </x:c>
      <x:c r="L273" s="21" t="str">
        <x:f>IF(A273="","",AND(I273=FALSE,J273=TRUE,K273&lt;=1))</x:f>
      </x:c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 t="str">
        <x:f>IF(A274="","",COUNTIF($A$5:$A$504,A274)&gt;1)</x:f>
      </x:c>
      <x:c r="J274" s="21" t="str">
        <x:f>IF(B274="","",COUNTIF('任务记录'!$A$5:$A$104,B274)=1)</x:f>
      </x:c>
      <x:c r="K274" s="21" t="str">
        <x:f>IF(B274="","",COUNTIFS($B$5:$B$504,B274,$E$5:$E$504,"true"))</x:f>
      </x:c>
      <x:c r="L274" s="21" t="str">
        <x:f>IF(A274="","",AND(I274=FALSE,J274=TRUE,K274&lt;=1))</x:f>
      </x:c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 t="str">
        <x:f>IF(A275="","",COUNTIF($A$5:$A$504,A275)&gt;1)</x:f>
      </x:c>
      <x:c r="J275" s="21" t="str">
        <x:f>IF(B275="","",COUNTIF('任务记录'!$A$5:$A$104,B275)=1)</x:f>
      </x:c>
      <x:c r="K275" s="21" t="str">
        <x:f>IF(B275="","",COUNTIFS($B$5:$B$504,B275,$E$5:$E$504,"true"))</x:f>
      </x:c>
      <x:c r="L275" s="21" t="str">
        <x:f>IF(A275="","",AND(I275=FALSE,J275=TRUE,K275&lt;=1))</x:f>
      </x:c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 t="str">
        <x:f>IF(A276="","",COUNTIF($A$5:$A$504,A276)&gt;1)</x:f>
      </x:c>
      <x:c r="J276" s="21" t="str">
        <x:f>IF(B276="","",COUNTIF('任务记录'!$A$5:$A$104,B276)=1)</x:f>
      </x:c>
      <x:c r="K276" s="21" t="str">
        <x:f>IF(B276="","",COUNTIFS($B$5:$B$504,B276,$E$5:$E$504,"true"))</x:f>
      </x:c>
      <x:c r="L276" s="21" t="str">
        <x:f>IF(A276="","",AND(I276=FALSE,J276=TRUE,K276&lt;=1))</x:f>
      </x:c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 t="str">
        <x:f>IF(A277="","",COUNTIF($A$5:$A$504,A277)&gt;1)</x:f>
      </x:c>
      <x:c r="J277" s="21" t="str">
        <x:f>IF(B277="","",COUNTIF('任务记录'!$A$5:$A$104,B277)=1)</x:f>
      </x:c>
      <x:c r="K277" s="21" t="str">
        <x:f>IF(B277="","",COUNTIFS($B$5:$B$504,B277,$E$5:$E$504,"true"))</x:f>
      </x:c>
      <x:c r="L277" s="21" t="str">
        <x:f>IF(A277="","",AND(I277=FALSE,J277=TRUE,K277&lt;=1))</x:f>
      </x:c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 t="str">
        <x:f>IF(A278="","",COUNTIF($A$5:$A$504,A278)&gt;1)</x:f>
      </x:c>
      <x:c r="J278" s="21" t="str">
        <x:f>IF(B278="","",COUNTIF('任务记录'!$A$5:$A$104,B278)=1)</x:f>
      </x:c>
      <x:c r="K278" s="21" t="str">
        <x:f>IF(B278="","",COUNTIFS($B$5:$B$504,B278,$E$5:$E$504,"true"))</x:f>
      </x:c>
      <x:c r="L278" s="21" t="str">
        <x:f>IF(A278="","",AND(I278=FALSE,J278=TRUE,K278&lt;=1))</x:f>
      </x:c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 t="str">
        <x:f>IF(A279="","",COUNTIF($A$5:$A$504,A279)&gt;1)</x:f>
      </x:c>
      <x:c r="J279" s="21" t="str">
        <x:f>IF(B279="","",COUNTIF('任务记录'!$A$5:$A$104,B279)=1)</x:f>
      </x:c>
      <x:c r="K279" s="21" t="str">
        <x:f>IF(B279="","",COUNTIFS($B$5:$B$504,B279,$E$5:$E$504,"true"))</x:f>
      </x:c>
      <x:c r="L279" s="21" t="str">
        <x:f>IF(A279="","",AND(I279=FALSE,J279=TRUE,K279&lt;=1))</x:f>
      </x:c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 t="str">
        <x:f>IF(A280="","",COUNTIF($A$5:$A$504,A280)&gt;1)</x:f>
      </x:c>
      <x:c r="J280" s="21" t="str">
        <x:f>IF(B280="","",COUNTIF('任务记录'!$A$5:$A$104,B280)=1)</x:f>
      </x:c>
      <x:c r="K280" s="21" t="str">
        <x:f>IF(B280="","",COUNTIFS($B$5:$B$504,B280,$E$5:$E$504,"true"))</x:f>
      </x:c>
      <x:c r="L280" s="21" t="str">
        <x:f>IF(A280="","",AND(I280=FALSE,J280=TRUE,K280&lt;=1))</x:f>
      </x:c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 t="str">
        <x:f>IF(A281="","",COUNTIF($A$5:$A$504,A281)&gt;1)</x:f>
      </x:c>
      <x:c r="J281" s="21" t="str">
        <x:f>IF(B281="","",COUNTIF('任务记录'!$A$5:$A$104,B281)=1)</x:f>
      </x:c>
      <x:c r="K281" s="21" t="str">
        <x:f>IF(B281="","",COUNTIFS($B$5:$B$504,B281,$E$5:$E$504,"true"))</x:f>
      </x:c>
      <x:c r="L281" s="21" t="str">
        <x:f>IF(A281="","",AND(I281=FALSE,J281=TRUE,K281&lt;=1))</x:f>
      </x:c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 t="str">
        <x:f>IF(A282="","",COUNTIF($A$5:$A$504,A282)&gt;1)</x:f>
      </x:c>
      <x:c r="J282" s="21" t="str">
        <x:f>IF(B282="","",COUNTIF('任务记录'!$A$5:$A$104,B282)=1)</x:f>
      </x:c>
      <x:c r="K282" s="21" t="str">
        <x:f>IF(B282="","",COUNTIFS($B$5:$B$504,B282,$E$5:$E$504,"true"))</x:f>
      </x:c>
      <x:c r="L282" s="21" t="str">
        <x:f>IF(A282="","",AND(I282=FALSE,J282=TRUE,K282&lt;=1))</x:f>
      </x:c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 t="str">
        <x:f>IF(A283="","",COUNTIF($A$5:$A$504,A283)&gt;1)</x:f>
      </x:c>
      <x:c r="J283" s="21" t="str">
        <x:f>IF(B283="","",COUNTIF('任务记录'!$A$5:$A$104,B283)=1)</x:f>
      </x:c>
      <x:c r="K283" s="21" t="str">
        <x:f>IF(B283="","",COUNTIFS($B$5:$B$504,B283,$E$5:$E$504,"true"))</x:f>
      </x:c>
      <x:c r="L283" s="21" t="str">
        <x:f>IF(A283="","",AND(I283=FALSE,J283=TRUE,K283&lt;=1))</x:f>
      </x:c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 t="str">
        <x:f>IF(A284="","",COUNTIF($A$5:$A$504,A284)&gt;1)</x:f>
      </x:c>
      <x:c r="J284" s="21" t="str">
        <x:f>IF(B284="","",COUNTIF('任务记录'!$A$5:$A$104,B284)=1)</x:f>
      </x:c>
      <x:c r="K284" s="21" t="str">
        <x:f>IF(B284="","",COUNTIFS($B$5:$B$504,B284,$E$5:$E$504,"true"))</x:f>
      </x:c>
      <x:c r="L284" s="21" t="str">
        <x:f>IF(A284="","",AND(I284=FALSE,J284=TRUE,K284&lt;=1))</x:f>
      </x:c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 t="str">
        <x:f>IF(A285="","",COUNTIF($A$5:$A$504,A285)&gt;1)</x:f>
      </x:c>
      <x:c r="J285" s="21" t="str">
        <x:f>IF(B285="","",COUNTIF('任务记录'!$A$5:$A$104,B285)=1)</x:f>
      </x:c>
      <x:c r="K285" s="21" t="str">
        <x:f>IF(B285="","",COUNTIFS($B$5:$B$504,B285,$E$5:$E$504,"true"))</x:f>
      </x:c>
      <x:c r="L285" s="21" t="str">
        <x:f>IF(A285="","",AND(I285=FALSE,J285=TRUE,K285&lt;=1))</x:f>
      </x:c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 t="str">
        <x:f>IF(A286="","",COUNTIF($A$5:$A$504,A286)&gt;1)</x:f>
      </x:c>
      <x:c r="J286" s="21" t="str">
        <x:f>IF(B286="","",COUNTIF('任务记录'!$A$5:$A$104,B286)=1)</x:f>
      </x:c>
      <x:c r="K286" s="21" t="str">
        <x:f>IF(B286="","",COUNTIFS($B$5:$B$504,B286,$E$5:$E$504,"true"))</x:f>
      </x:c>
      <x:c r="L286" s="21" t="str">
        <x:f>IF(A286="","",AND(I286=FALSE,J286=TRUE,K286&lt;=1))</x:f>
      </x:c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 t="str">
        <x:f>IF(A287="","",COUNTIF($A$5:$A$504,A287)&gt;1)</x:f>
      </x:c>
      <x:c r="J287" s="21" t="str">
        <x:f>IF(B287="","",COUNTIF('任务记录'!$A$5:$A$104,B287)=1)</x:f>
      </x:c>
      <x:c r="K287" s="21" t="str">
        <x:f>IF(B287="","",COUNTIFS($B$5:$B$504,B287,$E$5:$E$504,"true"))</x:f>
      </x:c>
      <x:c r="L287" s="21" t="str">
        <x:f>IF(A287="","",AND(I287=FALSE,J287=TRUE,K287&lt;=1))</x:f>
      </x:c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 t="str">
        <x:f>IF(A288="","",COUNTIF($A$5:$A$504,A288)&gt;1)</x:f>
      </x:c>
      <x:c r="J288" s="21" t="str">
        <x:f>IF(B288="","",COUNTIF('任务记录'!$A$5:$A$104,B288)=1)</x:f>
      </x:c>
      <x:c r="K288" s="21" t="str">
        <x:f>IF(B288="","",COUNTIFS($B$5:$B$504,B288,$E$5:$E$504,"true"))</x:f>
      </x:c>
      <x:c r="L288" s="21" t="str">
        <x:f>IF(A288="","",AND(I288=FALSE,J288=TRUE,K288&lt;=1))</x:f>
      </x:c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 t="str">
        <x:f>IF(A289="","",COUNTIF($A$5:$A$504,A289)&gt;1)</x:f>
      </x:c>
      <x:c r="J289" s="21" t="str">
        <x:f>IF(B289="","",COUNTIF('任务记录'!$A$5:$A$104,B289)=1)</x:f>
      </x:c>
      <x:c r="K289" s="21" t="str">
        <x:f>IF(B289="","",COUNTIFS($B$5:$B$504,B289,$E$5:$E$504,"true"))</x:f>
      </x:c>
      <x:c r="L289" s="21" t="str">
        <x:f>IF(A289="","",AND(I289=FALSE,J289=TRUE,K289&lt;=1))</x:f>
      </x:c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 t="str">
        <x:f>IF(A290="","",COUNTIF($A$5:$A$504,A290)&gt;1)</x:f>
      </x:c>
      <x:c r="J290" s="21" t="str">
        <x:f>IF(B290="","",COUNTIF('任务记录'!$A$5:$A$104,B290)=1)</x:f>
      </x:c>
      <x:c r="K290" s="21" t="str">
        <x:f>IF(B290="","",COUNTIFS($B$5:$B$504,B290,$E$5:$E$504,"true"))</x:f>
      </x:c>
      <x:c r="L290" s="21" t="str">
        <x:f>IF(A290="","",AND(I290=FALSE,J290=TRUE,K290&lt;=1))</x:f>
      </x:c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 t="str">
        <x:f>IF(A291="","",COUNTIF($A$5:$A$504,A291)&gt;1)</x:f>
      </x:c>
      <x:c r="J291" s="21" t="str">
        <x:f>IF(B291="","",COUNTIF('任务记录'!$A$5:$A$104,B291)=1)</x:f>
      </x:c>
      <x:c r="K291" s="21" t="str">
        <x:f>IF(B291="","",COUNTIFS($B$5:$B$504,B291,$E$5:$E$504,"true"))</x:f>
      </x:c>
      <x:c r="L291" s="21" t="str">
        <x:f>IF(A291="","",AND(I291=FALSE,J291=TRUE,K291&lt;=1))</x:f>
      </x:c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 t="str">
        <x:f>IF(A292="","",COUNTIF($A$5:$A$504,A292)&gt;1)</x:f>
      </x:c>
      <x:c r="J292" s="21" t="str">
        <x:f>IF(B292="","",COUNTIF('任务记录'!$A$5:$A$104,B292)=1)</x:f>
      </x:c>
      <x:c r="K292" s="21" t="str">
        <x:f>IF(B292="","",COUNTIFS($B$5:$B$504,B292,$E$5:$E$504,"true"))</x:f>
      </x:c>
      <x:c r="L292" s="21" t="str">
        <x:f>IF(A292="","",AND(I292=FALSE,J292=TRUE,K292&lt;=1))</x:f>
      </x:c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 t="str">
        <x:f>IF(A293="","",COUNTIF($A$5:$A$504,A293)&gt;1)</x:f>
      </x:c>
      <x:c r="J293" s="21" t="str">
        <x:f>IF(B293="","",COUNTIF('任务记录'!$A$5:$A$104,B293)=1)</x:f>
      </x:c>
      <x:c r="K293" s="21" t="str">
        <x:f>IF(B293="","",COUNTIFS($B$5:$B$504,B293,$E$5:$E$504,"true"))</x:f>
      </x:c>
      <x:c r="L293" s="21" t="str">
        <x:f>IF(A293="","",AND(I293=FALSE,J293=TRUE,K293&lt;=1))</x:f>
      </x:c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 t="str">
        <x:f>IF(A294="","",COUNTIF($A$5:$A$504,A294)&gt;1)</x:f>
      </x:c>
      <x:c r="J294" s="21" t="str">
        <x:f>IF(B294="","",COUNTIF('任务记录'!$A$5:$A$104,B294)=1)</x:f>
      </x:c>
      <x:c r="K294" s="21" t="str">
        <x:f>IF(B294="","",COUNTIFS($B$5:$B$504,B294,$E$5:$E$504,"true"))</x:f>
      </x:c>
      <x:c r="L294" s="21" t="str">
        <x:f>IF(A294="","",AND(I294=FALSE,J294=TRUE,K294&lt;=1))</x:f>
      </x:c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 t="str">
        <x:f>IF(A295="","",COUNTIF($A$5:$A$504,A295)&gt;1)</x:f>
      </x:c>
      <x:c r="J295" s="21" t="str">
        <x:f>IF(B295="","",COUNTIF('任务记录'!$A$5:$A$104,B295)=1)</x:f>
      </x:c>
      <x:c r="K295" s="21" t="str">
        <x:f>IF(B295="","",COUNTIFS($B$5:$B$504,B295,$E$5:$E$504,"true"))</x:f>
      </x:c>
      <x:c r="L295" s="21" t="str">
        <x:f>IF(A295="","",AND(I295=FALSE,J295=TRUE,K295&lt;=1))</x:f>
      </x:c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 t="str">
        <x:f>IF(A296="","",COUNTIF($A$5:$A$504,A296)&gt;1)</x:f>
      </x:c>
      <x:c r="J296" s="21" t="str">
        <x:f>IF(B296="","",COUNTIF('任务记录'!$A$5:$A$104,B296)=1)</x:f>
      </x:c>
      <x:c r="K296" s="21" t="str">
        <x:f>IF(B296="","",COUNTIFS($B$5:$B$504,B296,$E$5:$E$504,"true"))</x:f>
      </x:c>
      <x:c r="L296" s="21" t="str">
        <x:f>IF(A296="","",AND(I296=FALSE,J296=TRUE,K296&lt;=1))</x:f>
      </x:c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 t="str">
        <x:f>IF(A297="","",COUNTIF($A$5:$A$504,A297)&gt;1)</x:f>
      </x:c>
      <x:c r="J297" s="21" t="str">
        <x:f>IF(B297="","",COUNTIF('任务记录'!$A$5:$A$104,B297)=1)</x:f>
      </x:c>
      <x:c r="K297" s="21" t="str">
        <x:f>IF(B297="","",COUNTIFS($B$5:$B$504,B297,$E$5:$E$504,"true"))</x:f>
      </x:c>
      <x:c r="L297" s="21" t="str">
        <x:f>IF(A297="","",AND(I297=FALSE,J297=TRUE,K297&lt;=1))</x:f>
      </x:c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 t="str">
        <x:f>IF(A298="","",COUNTIF($A$5:$A$504,A298)&gt;1)</x:f>
      </x:c>
      <x:c r="J298" s="21" t="str">
        <x:f>IF(B298="","",COUNTIF('任务记录'!$A$5:$A$104,B298)=1)</x:f>
      </x:c>
      <x:c r="K298" s="21" t="str">
        <x:f>IF(B298="","",COUNTIFS($B$5:$B$504,B298,$E$5:$E$504,"true"))</x:f>
      </x:c>
      <x:c r="L298" s="21" t="str">
        <x:f>IF(A298="","",AND(I298=FALSE,J298=TRUE,K298&lt;=1))</x:f>
      </x:c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 t="str">
        <x:f>IF(A299="","",COUNTIF($A$5:$A$504,A299)&gt;1)</x:f>
      </x:c>
      <x:c r="J299" s="21" t="str">
        <x:f>IF(B299="","",COUNTIF('任务记录'!$A$5:$A$104,B299)=1)</x:f>
      </x:c>
      <x:c r="K299" s="21" t="str">
        <x:f>IF(B299="","",COUNTIFS($B$5:$B$504,B299,$E$5:$E$504,"true"))</x:f>
      </x:c>
      <x:c r="L299" s="21" t="str">
        <x:f>IF(A299="","",AND(I299=FALSE,J299=TRUE,K299&lt;=1))</x:f>
      </x:c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 t="str">
        <x:f>IF(A300="","",COUNTIF($A$5:$A$504,A300)&gt;1)</x:f>
      </x:c>
      <x:c r="J300" s="21" t="str">
        <x:f>IF(B300="","",COUNTIF('任务记录'!$A$5:$A$104,B300)=1)</x:f>
      </x:c>
      <x:c r="K300" s="21" t="str">
        <x:f>IF(B300="","",COUNTIFS($B$5:$B$504,B300,$E$5:$E$504,"true"))</x:f>
      </x:c>
      <x:c r="L300" s="21" t="str">
        <x:f>IF(A300="","",AND(I300=FALSE,J300=TRUE,K300&lt;=1))</x:f>
      </x:c>
    </x:row>
    <x:row r="301">
      <x:c r="A301" s="21"/>
      <x:c r="B301" s="21"/>
      <x:c r="C301" s="21"/>
      <x:c r="D301" s="21"/>
      <x:c r="E301" s="21"/>
      <x:c r="F301" s="21"/>
      <x:c r="G301" s="21"/>
      <x:c r="H301" s="21"/>
      <x:c r="I301" s="21" t="str">
        <x:f>IF(A301="","",COUNTIF($A$5:$A$504,A301)&gt;1)</x:f>
      </x:c>
      <x:c r="J301" s="21" t="str">
        <x:f>IF(B301="","",COUNTIF('任务记录'!$A$5:$A$104,B301)=1)</x:f>
      </x:c>
      <x:c r="K301" s="21" t="str">
        <x:f>IF(B301="","",COUNTIFS($B$5:$B$504,B301,$E$5:$E$504,"true"))</x:f>
      </x:c>
      <x:c r="L301" s="21" t="str">
        <x:f>IF(A301="","",AND(I301=FALSE,J301=TRUE,K301&lt;=1))</x:f>
      </x:c>
    </x:row>
    <x:row r="302">
      <x:c r="A302" s="21"/>
      <x:c r="B302" s="21"/>
      <x:c r="C302" s="21"/>
      <x:c r="D302" s="21"/>
      <x:c r="E302" s="21"/>
      <x:c r="F302" s="21"/>
      <x:c r="G302" s="21"/>
      <x:c r="H302" s="21"/>
      <x:c r="I302" s="21" t="str">
        <x:f>IF(A302="","",COUNTIF($A$5:$A$504,A302)&gt;1)</x:f>
      </x:c>
      <x:c r="J302" s="21" t="str">
        <x:f>IF(B302="","",COUNTIF('任务记录'!$A$5:$A$104,B302)=1)</x:f>
      </x:c>
      <x:c r="K302" s="21" t="str">
        <x:f>IF(B302="","",COUNTIFS($B$5:$B$504,B302,$E$5:$E$504,"true"))</x:f>
      </x:c>
      <x:c r="L302" s="21" t="str">
        <x:f>IF(A302="","",AND(I302=FALSE,J302=TRUE,K302&lt;=1))</x:f>
      </x:c>
    </x:row>
    <x:row r="303">
      <x:c r="A303" s="21"/>
      <x:c r="B303" s="21"/>
      <x:c r="C303" s="21"/>
      <x:c r="D303" s="21"/>
      <x:c r="E303" s="21"/>
      <x:c r="F303" s="21"/>
      <x:c r="G303" s="21"/>
      <x:c r="H303" s="21"/>
      <x:c r="I303" s="21" t="str">
        <x:f>IF(A303="","",COUNTIF($A$5:$A$504,A303)&gt;1)</x:f>
      </x:c>
      <x:c r="J303" s="21" t="str">
        <x:f>IF(B303="","",COUNTIF('任务记录'!$A$5:$A$104,B303)=1)</x:f>
      </x:c>
      <x:c r="K303" s="21" t="str">
        <x:f>IF(B303="","",COUNTIFS($B$5:$B$504,B303,$E$5:$E$504,"true"))</x:f>
      </x:c>
      <x:c r="L303" s="21" t="str">
        <x:f>IF(A303="","",AND(I303=FALSE,J303=TRUE,K303&lt;=1))</x:f>
      </x:c>
    </x:row>
    <x:row r="304">
      <x:c r="A304" s="21"/>
      <x:c r="B304" s="21"/>
      <x:c r="C304" s="21"/>
      <x:c r="D304" s="21"/>
      <x:c r="E304" s="21"/>
      <x:c r="F304" s="21"/>
      <x:c r="G304" s="21"/>
      <x:c r="H304" s="21"/>
      <x:c r="I304" s="21" t="str">
        <x:f>IF(A304="","",COUNTIF($A$5:$A$504,A304)&gt;1)</x:f>
      </x:c>
      <x:c r="J304" s="21" t="str">
        <x:f>IF(B304="","",COUNTIF('任务记录'!$A$5:$A$104,B304)=1)</x:f>
      </x:c>
      <x:c r="K304" s="21" t="str">
        <x:f>IF(B304="","",COUNTIFS($B$5:$B$504,B304,$E$5:$E$504,"true"))</x:f>
      </x:c>
      <x:c r="L304" s="21" t="str">
        <x:f>IF(A304="","",AND(I304=FALSE,J304=TRUE,K304&lt;=1))</x:f>
      </x:c>
    </x:row>
    <x:row r="305">
      <x:c r="A305" s="21"/>
      <x:c r="B305" s="21"/>
      <x:c r="C305" s="21"/>
      <x:c r="D305" s="21"/>
      <x:c r="E305" s="21"/>
      <x:c r="F305" s="21"/>
      <x:c r="G305" s="21"/>
      <x:c r="H305" s="21"/>
      <x:c r="I305" s="21" t="str">
        <x:f>IF(A305="","",COUNTIF($A$5:$A$504,A305)&gt;1)</x:f>
      </x:c>
      <x:c r="J305" s="21" t="str">
        <x:f>IF(B305="","",COUNTIF('任务记录'!$A$5:$A$104,B305)=1)</x:f>
      </x:c>
      <x:c r="K305" s="21" t="str">
        <x:f>IF(B305="","",COUNTIFS($B$5:$B$504,B305,$E$5:$E$504,"true"))</x:f>
      </x:c>
      <x:c r="L305" s="21" t="str">
        <x:f>IF(A305="","",AND(I305=FALSE,J305=TRUE,K305&lt;=1))</x:f>
      </x:c>
    </x:row>
    <x:row r="306">
      <x:c r="A306" s="21"/>
      <x:c r="B306" s="21"/>
      <x:c r="C306" s="21"/>
      <x:c r="D306" s="21"/>
      <x:c r="E306" s="21"/>
      <x:c r="F306" s="21"/>
      <x:c r="G306" s="21"/>
      <x:c r="H306" s="21"/>
      <x:c r="I306" s="21" t="str">
        <x:f>IF(A306="","",COUNTIF($A$5:$A$504,A306)&gt;1)</x:f>
      </x:c>
      <x:c r="J306" s="21" t="str">
        <x:f>IF(B306="","",COUNTIF('任务记录'!$A$5:$A$104,B306)=1)</x:f>
      </x:c>
      <x:c r="K306" s="21" t="str">
        <x:f>IF(B306="","",COUNTIFS($B$5:$B$504,B306,$E$5:$E$504,"true"))</x:f>
      </x:c>
      <x:c r="L306" s="21" t="str">
        <x:f>IF(A306="","",AND(I306=FALSE,J306=TRUE,K306&lt;=1))</x:f>
      </x:c>
    </x:row>
    <x:row r="307">
      <x:c r="A307" s="21"/>
      <x:c r="B307" s="21"/>
      <x:c r="C307" s="21"/>
      <x:c r="D307" s="21"/>
      <x:c r="E307" s="21"/>
      <x:c r="F307" s="21"/>
      <x:c r="G307" s="21"/>
      <x:c r="H307" s="21"/>
      <x:c r="I307" s="21" t="str">
        <x:f>IF(A307="","",COUNTIF($A$5:$A$504,A307)&gt;1)</x:f>
      </x:c>
      <x:c r="J307" s="21" t="str">
        <x:f>IF(B307="","",COUNTIF('任务记录'!$A$5:$A$104,B307)=1)</x:f>
      </x:c>
      <x:c r="K307" s="21" t="str">
        <x:f>IF(B307="","",COUNTIFS($B$5:$B$504,B307,$E$5:$E$504,"true"))</x:f>
      </x:c>
      <x:c r="L307" s="21" t="str">
        <x:f>IF(A307="","",AND(I307=FALSE,J307=TRUE,K307&lt;=1))</x:f>
      </x:c>
    </x:row>
    <x:row r="308">
      <x:c r="A308" s="21"/>
      <x:c r="B308" s="21"/>
      <x:c r="C308" s="21"/>
      <x:c r="D308" s="21"/>
      <x:c r="E308" s="21"/>
      <x:c r="F308" s="21"/>
      <x:c r="G308" s="21"/>
      <x:c r="H308" s="21"/>
      <x:c r="I308" s="21" t="str">
        <x:f>IF(A308="","",COUNTIF($A$5:$A$504,A308)&gt;1)</x:f>
      </x:c>
      <x:c r="J308" s="21" t="str">
        <x:f>IF(B308="","",COUNTIF('任务记录'!$A$5:$A$104,B308)=1)</x:f>
      </x:c>
      <x:c r="K308" s="21" t="str">
        <x:f>IF(B308="","",COUNTIFS($B$5:$B$504,B308,$E$5:$E$504,"true"))</x:f>
      </x:c>
      <x:c r="L308" s="21" t="str">
        <x:f>IF(A308="","",AND(I308=FALSE,J308=TRUE,K308&lt;=1))</x:f>
      </x:c>
    </x:row>
    <x:row r="309">
      <x:c r="A309" s="21"/>
      <x:c r="B309" s="21"/>
      <x:c r="C309" s="21"/>
      <x:c r="D309" s="21"/>
      <x:c r="E309" s="21"/>
      <x:c r="F309" s="21"/>
      <x:c r="G309" s="21"/>
      <x:c r="H309" s="21"/>
      <x:c r="I309" s="21" t="str">
        <x:f>IF(A309="","",COUNTIF($A$5:$A$504,A309)&gt;1)</x:f>
      </x:c>
      <x:c r="J309" s="21" t="str">
        <x:f>IF(B309="","",COUNTIF('任务记录'!$A$5:$A$104,B309)=1)</x:f>
      </x:c>
      <x:c r="K309" s="21" t="str">
        <x:f>IF(B309="","",COUNTIFS($B$5:$B$504,B309,$E$5:$E$504,"true"))</x:f>
      </x:c>
      <x:c r="L309" s="21" t="str">
        <x:f>IF(A309="","",AND(I309=FALSE,J309=TRUE,K309&lt;=1))</x:f>
      </x:c>
    </x:row>
    <x:row r="310">
      <x:c r="A310" s="21"/>
      <x:c r="B310" s="21"/>
      <x:c r="C310" s="21"/>
      <x:c r="D310" s="21"/>
      <x:c r="E310" s="21"/>
      <x:c r="F310" s="21"/>
      <x:c r="G310" s="21"/>
      <x:c r="H310" s="21"/>
      <x:c r="I310" s="21" t="str">
        <x:f>IF(A310="","",COUNTIF($A$5:$A$504,A310)&gt;1)</x:f>
      </x:c>
      <x:c r="J310" s="21" t="str">
        <x:f>IF(B310="","",COUNTIF('任务记录'!$A$5:$A$104,B310)=1)</x:f>
      </x:c>
      <x:c r="K310" s="21" t="str">
        <x:f>IF(B310="","",COUNTIFS($B$5:$B$504,B310,$E$5:$E$504,"true"))</x:f>
      </x:c>
      <x:c r="L310" s="21" t="str">
        <x:f>IF(A310="","",AND(I310=FALSE,J310=TRUE,K310&lt;=1))</x:f>
      </x:c>
    </x:row>
    <x:row r="311">
      <x:c r="A311" s="21"/>
      <x:c r="B311" s="21"/>
      <x:c r="C311" s="21"/>
      <x:c r="D311" s="21"/>
      <x:c r="E311" s="21"/>
      <x:c r="F311" s="21"/>
      <x:c r="G311" s="21"/>
      <x:c r="H311" s="21"/>
      <x:c r="I311" s="21" t="str">
        <x:f>IF(A311="","",COUNTIF($A$5:$A$504,A311)&gt;1)</x:f>
      </x:c>
      <x:c r="J311" s="21" t="str">
        <x:f>IF(B311="","",COUNTIF('任务记录'!$A$5:$A$104,B311)=1)</x:f>
      </x:c>
      <x:c r="K311" s="21" t="str">
        <x:f>IF(B311="","",COUNTIFS($B$5:$B$504,B311,$E$5:$E$504,"true"))</x:f>
      </x:c>
      <x:c r="L311" s="21" t="str">
        <x:f>IF(A311="","",AND(I311=FALSE,J311=TRUE,K311&lt;=1))</x:f>
      </x:c>
    </x:row>
    <x:row r="312">
      <x:c r="A312" s="21"/>
      <x:c r="B312" s="21"/>
      <x:c r="C312" s="21"/>
      <x:c r="D312" s="21"/>
      <x:c r="E312" s="21"/>
      <x:c r="F312" s="21"/>
      <x:c r="G312" s="21"/>
      <x:c r="H312" s="21"/>
      <x:c r="I312" s="21" t="str">
        <x:f>IF(A312="","",COUNTIF($A$5:$A$504,A312)&gt;1)</x:f>
      </x:c>
      <x:c r="J312" s="21" t="str">
        <x:f>IF(B312="","",COUNTIF('任务记录'!$A$5:$A$104,B312)=1)</x:f>
      </x:c>
      <x:c r="K312" s="21" t="str">
        <x:f>IF(B312="","",COUNTIFS($B$5:$B$504,B312,$E$5:$E$504,"true"))</x:f>
      </x:c>
      <x:c r="L312" s="21" t="str">
        <x:f>IF(A312="","",AND(I312=FALSE,J312=TRUE,K312&lt;=1))</x:f>
      </x:c>
    </x:row>
    <x:row r="313">
      <x:c r="A313" s="21"/>
      <x:c r="B313" s="21"/>
      <x:c r="C313" s="21"/>
      <x:c r="D313" s="21"/>
      <x:c r="E313" s="21"/>
      <x:c r="F313" s="21"/>
      <x:c r="G313" s="21"/>
      <x:c r="H313" s="21"/>
      <x:c r="I313" s="21" t="str">
        <x:f>IF(A313="","",COUNTIF($A$5:$A$504,A313)&gt;1)</x:f>
      </x:c>
      <x:c r="J313" s="21" t="str">
        <x:f>IF(B313="","",COUNTIF('任务记录'!$A$5:$A$104,B313)=1)</x:f>
      </x:c>
      <x:c r="K313" s="21" t="str">
        <x:f>IF(B313="","",COUNTIFS($B$5:$B$504,B313,$E$5:$E$504,"true"))</x:f>
      </x:c>
      <x:c r="L313" s="21" t="str">
        <x:f>IF(A313="","",AND(I313=FALSE,J313=TRUE,K313&lt;=1))</x:f>
      </x:c>
    </x:row>
    <x:row r="314">
      <x:c r="A314" s="21"/>
      <x:c r="B314" s="21"/>
      <x:c r="C314" s="21"/>
      <x:c r="D314" s="21"/>
      <x:c r="E314" s="21"/>
      <x:c r="F314" s="21"/>
      <x:c r="G314" s="21"/>
      <x:c r="H314" s="21"/>
      <x:c r="I314" s="21" t="str">
        <x:f>IF(A314="","",COUNTIF($A$5:$A$504,A314)&gt;1)</x:f>
      </x:c>
      <x:c r="J314" s="21" t="str">
        <x:f>IF(B314="","",COUNTIF('任务记录'!$A$5:$A$104,B314)=1)</x:f>
      </x:c>
      <x:c r="K314" s="21" t="str">
        <x:f>IF(B314="","",COUNTIFS($B$5:$B$504,B314,$E$5:$E$504,"true"))</x:f>
      </x:c>
      <x:c r="L314" s="21" t="str">
        <x:f>IF(A314="","",AND(I314=FALSE,J314=TRUE,K314&lt;=1))</x:f>
      </x:c>
    </x:row>
    <x:row r="315">
      <x:c r="A315" s="21"/>
      <x:c r="B315" s="21"/>
      <x:c r="C315" s="21"/>
      <x:c r="D315" s="21"/>
      <x:c r="E315" s="21"/>
      <x:c r="F315" s="21"/>
      <x:c r="G315" s="21"/>
      <x:c r="H315" s="21"/>
      <x:c r="I315" s="21" t="str">
        <x:f>IF(A315="","",COUNTIF($A$5:$A$504,A315)&gt;1)</x:f>
      </x:c>
      <x:c r="J315" s="21" t="str">
        <x:f>IF(B315="","",COUNTIF('任务记录'!$A$5:$A$104,B315)=1)</x:f>
      </x:c>
      <x:c r="K315" s="21" t="str">
        <x:f>IF(B315="","",COUNTIFS($B$5:$B$504,B315,$E$5:$E$504,"true"))</x:f>
      </x:c>
      <x:c r="L315" s="21" t="str">
        <x:f>IF(A315="","",AND(I315=FALSE,J315=TRUE,K315&lt;=1))</x:f>
      </x:c>
    </x:row>
    <x:row r="316">
      <x:c r="A316" s="21"/>
      <x:c r="B316" s="21"/>
      <x:c r="C316" s="21"/>
      <x:c r="D316" s="21"/>
      <x:c r="E316" s="21"/>
      <x:c r="F316" s="21"/>
      <x:c r="G316" s="21"/>
      <x:c r="H316" s="21"/>
      <x:c r="I316" s="21" t="str">
        <x:f>IF(A316="","",COUNTIF($A$5:$A$504,A316)&gt;1)</x:f>
      </x:c>
      <x:c r="J316" s="21" t="str">
        <x:f>IF(B316="","",COUNTIF('任务记录'!$A$5:$A$104,B316)=1)</x:f>
      </x:c>
      <x:c r="K316" s="21" t="str">
        <x:f>IF(B316="","",COUNTIFS($B$5:$B$504,B316,$E$5:$E$504,"true"))</x:f>
      </x:c>
      <x:c r="L316" s="21" t="str">
        <x:f>IF(A316="","",AND(I316=FALSE,J316=TRUE,K316&lt;=1))</x:f>
      </x:c>
    </x:row>
    <x:row r="317">
      <x:c r="A317" s="21"/>
      <x:c r="B317" s="21"/>
      <x:c r="C317" s="21"/>
      <x:c r="D317" s="21"/>
      <x:c r="E317" s="21"/>
      <x:c r="F317" s="21"/>
      <x:c r="G317" s="21"/>
      <x:c r="H317" s="21"/>
      <x:c r="I317" s="21" t="str">
        <x:f>IF(A317="","",COUNTIF($A$5:$A$504,A317)&gt;1)</x:f>
      </x:c>
      <x:c r="J317" s="21" t="str">
        <x:f>IF(B317="","",COUNTIF('任务记录'!$A$5:$A$104,B317)=1)</x:f>
      </x:c>
      <x:c r="K317" s="21" t="str">
        <x:f>IF(B317="","",COUNTIFS($B$5:$B$504,B317,$E$5:$E$504,"true"))</x:f>
      </x:c>
      <x:c r="L317" s="21" t="str">
        <x:f>IF(A317="","",AND(I317=FALSE,J317=TRUE,K317&lt;=1))</x:f>
      </x:c>
    </x:row>
    <x:row r="318">
      <x:c r="A318" s="21"/>
      <x:c r="B318" s="21"/>
      <x:c r="C318" s="21"/>
      <x:c r="D318" s="21"/>
      <x:c r="E318" s="21"/>
      <x:c r="F318" s="21"/>
      <x:c r="G318" s="21"/>
      <x:c r="H318" s="21"/>
      <x:c r="I318" s="21" t="str">
        <x:f>IF(A318="","",COUNTIF($A$5:$A$504,A318)&gt;1)</x:f>
      </x:c>
      <x:c r="J318" s="21" t="str">
        <x:f>IF(B318="","",COUNTIF('任务记录'!$A$5:$A$104,B318)=1)</x:f>
      </x:c>
      <x:c r="K318" s="21" t="str">
        <x:f>IF(B318="","",COUNTIFS($B$5:$B$504,B318,$E$5:$E$504,"true"))</x:f>
      </x:c>
      <x:c r="L318" s="21" t="str">
        <x:f>IF(A318="","",AND(I318=FALSE,J318=TRUE,K318&lt;=1))</x:f>
      </x:c>
    </x:row>
    <x:row r="319">
      <x:c r="A319" s="21"/>
      <x:c r="B319" s="21"/>
      <x:c r="C319" s="21"/>
      <x:c r="D319" s="21"/>
      <x:c r="E319" s="21"/>
      <x:c r="F319" s="21"/>
      <x:c r="G319" s="21"/>
      <x:c r="H319" s="21"/>
      <x:c r="I319" s="21" t="str">
        <x:f>IF(A319="","",COUNTIF($A$5:$A$504,A319)&gt;1)</x:f>
      </x:c>
      <x:c r="J319" s="21" t="str">
        <x:f>IF(B319="","",COUNTIF('任务记录'!$A$5:$A$104,B319)=1)</x:f>
      </x:c>
      <x:c r="K319" s="21" t="str">
        <x:f>IF(B319="","",COUNTIFS($B$5:$B$504,B319,$E$5:$E$504,"true"))</x:f>
      </x:c>
      <x:c r="L319" s="21" t="str">
        <x:f>IF(A319="","",AND(I319=FALSE,J319=TRUE,K319&lt;=1))</x:f>
      </x:c>
    </x:row>
    <x:row r="320">
      <x:c r="A320" s="21"/>
      <x:c r="B320" s="21"/>
      <x:c r="C320" s="21"/>
      <x:c r="D320" s="21"/>
      <x:c r="E320" s="21"/>
      <x:c r="F320" s="21"/>
      <x:c r="G320" s="21"/>
      <x:c r="H320" s="21"/>
      <x:c r="I320" s="21" t="str">
        <x:f>IF(A320="","",COUNTIF($A$5:$A$504,A320)&gt;1)</x:f>
      </x:c>
      <x:c r="J320" s="21" t="str">
        <x:f>IF(B320="","",COUNTIF('任务记录'!$A$5:$A$104,B320)=1)</x:f>
      </x:c>
      <x:c r="K320" s="21" t="str">
        <x:f>IF(B320="","",COUNTIFS($B$5:$B$504,B320,$E$5:$E$504,"true"))</x:f>
      </x:c>
      <x:c r="L320" s="21" t="str">
        <x:f>IF(A320="","",AND(I320=FALSE,J320=TRUE,K320&lt;=1))</x:f>
      </x:c>
    </x:row>
    <x:row r="321">
      <x:c r="A321" s="21"/>
      <x:c r="B321" s="21"/>
      <x:c r="C321" s="21"/>
      <x:c r="D321" s="21"/>
      <x:c r="E321" s="21"/>
      <x:c r="F321" s="21"/>
      <x:c r="G321" s="21"/>
      <x:c r="H321" s="21"/>
      <x:c r="I321" s="21" t="str">
        <x:f>IF(A321="","",COUNTIF($A$5:$A$504,A321)&gt;1)</x:f>
      </x:c>
      <x:c r="J321" s="21" t="str">
        <x:f>IF(B321="","",COUNTIF('任务记录'!$A$5:$A$104,B321)=1)</x:f>
      </x:c>
      <x:c r="K321" s="21" t="str">
        <x:f>IF(B321="","",COUNTIFS($B$5:$B$504,B321,$E$5:$E$504,"true"))</x:f>
      </x:c>
      <x:c r="L321" s="21" t="str">
        <x:f>IF(A321="","",AND(I321=FALSE,J321=TRUE,K321&lt;=1))</x:f>
      </x:c>
    </x:row>
    <x:row r="322">
      <x:c r="A322" s="21"/>
      <x:c r="B322" s="21"/>
      <x:c r="C322" s="21"/>
      <x:c r="D322" s="21"/>
      <x:c r="E322" s="21"/>
      <x:c r="F322" s="21"/>
      <x:c r="G322" s="21"/>
      <x:c r="H322" s="21"/>
      <x:c r="I322" s="21" t="str">
        <x:f>IF(A322="","",COUNTIF($A$5:$A$504,A322)&gt;1)</x:f>
      </x:c>
      <x:c r="J322" s="21" t="str">
        <x:f>IF(B322="","",COUNTIF('任务记录'!$A$5:$A$104,B322)=1)</x:f>
      </x:c>
      <x:c r="K322" s="21" t="str">
        <x:f>IF(B322="","",COUNTIFS($B$5:$B$504,B322,$E$5:$E$504,"true"))</x:f>
      </x:c>
      <x:c r="L322" s="21" t="str">
        <x:f>IF(A322="","",AND(I322=FALSE,J322=TRUE,K322&lt;=1))</x:f>
      </x:c>
    </x:row>
    <x:row r="323">
      <x:c r="A323" s="21"/>
      <x:c r="B323" s="21"/>
      <x:c r="C323" s="21"/>
      <x:c r="D323" s="21"/>
      <x:c r="E323" s="21"/>
      <x:c r="F323" s="21"/>
      <x:c r="G323" s="21"/>
      <x:c r="H323" s="21"/>
      <x:c r="I323" s="21" t="str">
        <x:f>IF(A323="","",COUNTIF($A$5:$A$504,A323)&gt;1)</x:f>
      </x:c>
      <x:c r="J323" s="21" t="str">
        <x:f>IF(B323="","",COUNTIF('任务记录'!$A$5:$A$104,B323)=1)</x:f>
      </x:c>
      <x:c r="K323" s="21" t="str">
        <x:f>IF(B323="","",COUNTIFS($B$5:$B$504,B323,$E$5:$E$504,"true"))</x:f>
      </x:c>
      <x:c r="L323" s="21" t="str">
        <x:f>IF(A323="","",AND(I323=FALSE,J323=TRUE,K323&lt;=1))</x:f>
      </x:c>
    </x:row>
    <x:row r="324">
      <x:c r="A324" s="21"/>
      <x:c r="B324" s="21"/>
      <x:c r="C324" s="21"/>
      <x:c r="D324" s="21"/>
      <x:c r="E324" s="21"/>
      <x:c r="F324" s="21"/>
      <x:c r="G324" s="21"/>
      <x:c r="H324" s="21"/>
      <x:c r="I324" s="21" t="str">
        <x:f>IF(A324="","",COUNTIF($A$5:$A$504,A324)&gt;1)</x:f>
      </x:c>
      <x:c r="J324" s="21" t="str">
        <x:f>IF(B324="","",COUNTIF('任务记录'!$A$5:$A$104,B324)=1)</x:f>
      </x:c>
      <x:c r="K324" s="21" t="str">
        <x:f>IF(B324="","",COUNTIFS($B$5:$B$504,B324,$E$5:$E$504,"true"))</x:f>
      </x:c>
      <x:c r="L324" s="21" t="str">
        <x:f>IF(A324="","",AND(I324=FALSE,J324=TRUE,K324&lt;=1))</x:f>
      </x:c>
    </x:row>
    <x:row r="325">
      <x:c r="A325" s="21"/>
      <x:c r="B325" s="21"/>
      <x:c r="C325" s="21"/>
      <x:c r="D325" s="21"/>
      <x:c r="E325" s="21"/>
      <x:c r="F325" s="21"/>
      <x:c r="G325" s="21"/>
      <x:c r="H325" s="21"/>
      <x:c r="I325" s="21" t="str">
        <x:f>IF(A325="","",COUNTIF($A$5:$A$504,A325)&gt;1)</x:f>
      </x:c>
      <x:c r="J325" s="21" t="str">
        <x:f>IF(B325="","",COUNTIF('任务记录'!$A$5:$A$104,B325)=1)</x:f>
      </x:c>
      <x:c r="K325" s="21" t="str">
        <x:f>IF(B325="","",COUNTIFS($B$5:$B$504,B325,$E$5:$E$504,"true"))</x:f>
      </x:c>
      <x:c r="L325" s="21" t="str">
        <x:f>IF(A325="","",AND(I325=FALSE,J325=TRUE,K325&lt;=1))</x:f>
      </x:c>
    </x:row>
    <x:row r="326">
      <x:c r="A326" s="21"/>
      <x:c r="B326" s="21"/>
      <x:c r="C326" s="21"/>
      <x:c r="D326" s="21"/>
      <x:c r="E326" s="21"/>
      <x:c r="F326" s="21"/>
      <x:c r="G326" s="21"/>
      <x:c r="H326" s="21"/>
      <x:c r="I326" s="21" t="str">
        <x:f>IF(A326="","",COUNTIF($A$5:$A$504,A326)&gt;1)</x:f>
      </x:c>
      <x:c r="J326" s="21" t="str">
        <x:f>IF(B326="","",COUNTIF('任务记录'!$A$5:$A$104,B326)=1)</x:f>
      </x:c>
      <x:c r="K326" s="21" t="str">
        <x:f>IF(B326="","",COUNTIFS($B$5:$B$504,B326,$E$5:$E$504,"true"))</x:f>
      </x:c>
      <x:c r="L326" s="21" t="str">
        <x:f>IF(A326="","",AND(I326=FALSE,J326=TRUE,K326&lt;=1))</x:f>
      </x:c>
    </x:row>
    <x:row r="327">
      <x:c r="A327" s="21"/>
      <x:c r="B327" s="21"/>
      <x:c r="C327" s="21"/>
      <x:c r="D327" s="21"/>
      <x:c r="E327" s="21"/>
      <x:c r="F327" s="21"/>
      <x:c r="G327" s="21"/>
      <x:c r="H327" s="21"/>
      <x:c r="I327" s="21" t="str">
        <x:f>IF(A327="","",COUNTIF($A$5:$A$504,A327)&gt;1)</x:f>
      </x:c>
      <x:c r="J327" s="21" t="str">
        <x:f>IF(B327="","",COUNTIF('任务记录'!$A$5:$A$104,B327)=1)</x:f>
      </x:c>
      <x:c r="K327" s="21" t="str">
        <x:f>IF(B327="","",COUNTIFS($B$5:$B$504,B327,$E$5:$E$504,"true"))</x:f>
      </x:c>
      <x:c r="L327" s="21" t="str">
        <x:f>IF(A327="","",AND(I327=FALSE,J327=TRUE,K327&lt;=1))</x:f>
      </x:c>
    </x:row>
    <x:row r="328">
      <x:c r="A328" s="21"/>
      <x:c r="B328" s="21"/>
      <x:c r="C328" s="21"/>
      <x:c r="D328" s="21"/>
      <x:c r="E328" s="21"/>
      <x:c r="F328" s="21"/>
      <x:c r="G328" s="21"/>
      <x:c r="H328" s="21"/>
      <x:c r="I328" s="21" t="str">
        <x:f>IF(A328="","",COUNTIF($A$5:$A$504,A328)&gt;1)</x:f>
      </x:c>
      <x:c r="J328" s="21" t="str">
        <x:f>IF(B328="","",COUNTIF('任务记录'!$A$5:$A$104,B328)=1)</x:f>
      </x:c>
      <x:c r="K328" s="21" t="str">
        <x:f>IF(B328="","",COUNTIFS($B$5:$B$504,B328,$E$5:$E$504,"true"))</x:f>
      </x:c>
      <x:c r="L328" s="21" t="str">
        <x:f>IF(A328="","",AND(I328=FALSE,J328=TRUE,K328&lt;=1))</x:f>
      </x:c>
    </x:row>
    <x:row r="329">
      <x:c r="A329" s="21"/>
      <x:c r="B329" s="21"/>
      <x:c r="C329" s="21"/>
      <x:c r="D329" s="21"/>
      <x:c r="E329" s="21"/>
      <x:c r="F329" s="21"/>
      <x:c r="G329" s="21"/>
      <x:c r="H329" s="21"/>
      <x:c r="I329" s="21" t="str">
        <x:f>IF(A329="","",COUNTIF($A$5:$A$504,A329)&gt;1)</x:f>
      </x:c>
      <x:c r="J329" s="21" t="str">
        <x:f>IF(B329="","",COUNTIF('任务记录'!$A$5:$A$104,B329)=1)</x:f>
      </x:c>
      <x:c r="K329" s="21" t="str">
        <x:f>IF(B329="","",COUNTIFS($B$5:$B$504,B329,$E$5:$E$504,"true"))</x:f>
      </x:c>
      <x:c r="L329" s="21" t="str">
        <x:f>IF(A329="","",AND(I329=FALSE,J329=TRUE,K329&lt;=1))</x:f>
      </x:c>
    </x:row>
    <x:row r="330">
      <x:c r="A330" s="21"/>
      <x:c r="B330" s="21"/>
      <x:c r="C330" s="21"/>
      <x:c r="D330" s="21"/>
      <x:c r="E330" s="21"/>
      <x:c r="F330" s="21"/>
      <x:c r="G330" s="21"/>
      <x:c r="H330" s="21"/>
      <x:c r="I330" s="21" t="str">
        <x:f>IF(A330="","",COUNTIF($A$5:$A$504,A330)&gt;1)</x:f>
      </x:c>
      <x:c r="J330" s="21" t="str">
        <x:f>IF(B330="","",COUNTIF('任务记录'!$A$5:$A$104,B330)=1)</x:f>
      </x:c>
      <x:c r="K330" s="21" t="str">
        <x:f>IF(B330="","",COUNTIFS($B$5:$B$504,B330,$E$5:$E$504,"true"))</x:f>
      </x:c>
      <x:c r="L330" s="21" t="str">
        <x:f>IF(A330="","",AND(I330=FALSE,J330=TRUE,K330&lt;=1))</x:f>
      </x:c>
    </x:row>
    <x:row r="331">
      <x:c r="A331" s="21"/>
      <x:c r="B331" s="21"/>
      <x:c r="C331" s="21"/>
      <x:c r="D331" s="21"/>
      <x:c r="E331" s="21"/>
      <x:c r="F331" s="21"/>
      <x:c r="G331" s="21"/>
      <x:c r="H331" s="21"/>
      <x:c r="I331" s="21" t="str">
        <x:f>IF(A331="","",COUNTIF($A$5:$A$504,A331)&gt;1)</x:f>
      </x:c>
      <x:c r="J331" s="21" t="str">
        <x:f>IF(B331="","",COUNTIF('任务记录'!$A$5:$A$104,B331)=1)</x:f>
      </x:c>
      <x:c r="K331" s="21" t="str">
        <x:f>IF(B331="","",COUNTIFS($B$5:$B$504,B331,$E$5:$E$504,"true"))</x:f>
      </x:c>
      <x:c r="L331" s="21" t="str">
        <x:f>IF(A331="","",AND(I331=FALSE,J331=TRUE,K331&lt;=1))</x:f>
      </x:c>
    </x:row>
    <x:row r="332">
      <x:c r="A332" s="21"/>
      <x:c r="B332" s="21"/>
      <x:c r="C332" s="21"/>
      <x:c r="D332" s="21"/>
      <x:c r="E332" s="21"/>
      <x:c r="F332" s="21"/>
      <x:c r="G332" s="21"/>
      <x:c r="H332" s="21"/>
      <x:c r="I332" s="21" t="str">
        <x:f>IF(A332="","",COUNTIF($A$5:$A$504,A332)&gt;1)</x:f>
      </x:c>
      <x:c r="J332" s="21" t="str">
        <x:f>IF(B332="","",COUNTIF('任务记录'!$A$5:$A$104,B332)=1)</x:f>
      </x:c>
      <x:c r="K332" s="21" t="str">
        <x:f>IF(B332="","",COUNTIFS($B$5:$B$504,B332,$E$5:$E$504,"true"))</x:f>
      </x:c>
      <x:c r="L332" s="21" t="str">
        <x:f>IF(A332="","",AND(I332=FALSE,J332=TRUE,K332&lt;=1))</x:f>
      </x:c>
    </x:row>
    <x:row r="333">
      <x:c r="A333" s="21"/>
      <x:c r="B333" s="21"/>
      <x:c r="C333" s="21"/>
      <x:c r="D333" s="21"/>
      <x:c r="E333" s="21"/>
      <x:c r="F333" s="21"/>
      <x:c r="G333" s="21"/>
      <x:c r="H333" s="21"/>
      <x:c r="I333" s="21" t="str">
        <x:f>IF(A333="","",COUNTIF($A$5:$A$504,A333)&gt;1)</x:f>
      </x:c>
      <x:c r="J333" s="21" t="str">
        <x:f>IF(B333="","",COUNTIF('任务记录'!$A$5:$A$104,B333)=1)</x:f>
      </x:c>
      <x:c r="K333" s="21" t="str">
        <x:f>IF(B333="","",COUNTIFS($B$5:$B$504,B333,$E$5:$E$504,"true"))</x:f>
      </x:c>
      <x:c r="L333" s="21" t="str">
        <x:f>IF(A333="","",AND(I333=FALSE,J333=TRUE,K333&lt;=1))</x:f>
      </x:c>
    </x:row>
    <x:row r="334">
      <x:c r="A334" s="21"/>
      <x:c r="B334" s="21"/>
      <x:c r="C334" s="21"/>
      <x:c r="D334" s="21"/>
      <x:c r="E334" s="21"/>
      <x:c r="F334" s="21"/>
      <x:c r="G334" s="21"/>
      <x:c r="H334" s="21"/>
      <x:c r="I334" s="21" t="str">
        <x:f>IF(A334="","",COUNTIF($A$5:$A$504,A334)&gt;1)</x:f>
      </x:c>
      <x:c r="J334" s="21" t="str">
        <x:f>IF(B334="","",COUNTIF('任务记录'!$A$5:$A$104,B334)=1)</x:f>
      </x:c>
      <x:c r="K334" s="21" t="str">
        <x:f>IF(B334="","",COUNTIFS($B$5:$B$504,B334,$E$5:$E$504,"true"))</x:f>
      </x:c>
      <x:c r="L334" s="21" t="str">
        <x:f>IF(A334="","",AND(I334=FALSE,J334=TRUE,K334&lt;=1))</x:f>
      </x:c>
    </x:row>
    <x:row r="335">
      <x:c r="A335" s="21"/>
      <x:c r="B335" s="21"/>
      <x:c r="C335" s="21"/>
      <x:c r="D335" s="21"/>
      <x:c r="E335" s="21"/>
      <x:c r="F335" s="21"/>
      <x:c r="G335" s="21"/>
      <x:c r="H335" s="21"/>
      <x:c r="I335" s="21" t="str">
        <x:f>IF(A335="","",COUNTIF($A$5:$A$504,A335)&gt;1)</x:f>
      </x:c>
      <x:c r="J335" s="21" t="str">
        <x:f>IF(B335="","",COUNTIF('任务记录'!$A$5:$A$104,B335)=1)</x:f>
      </x:c>
      <x:c r="K335" s="21" t="str">
        <x:f>IF(B335="","",COUNTIFS($B$5:$B$504,B335,$E$5:$E$504,"true"))</x:f>
      </x:c>
      <x:c r="L335" s="21" t="str">
        <x:f>IF(A335="","",AND(I335=FALSE,J335=TRUE,K335&lt;=1))</x:f>
      </x:c>
    </x:row>
    <x:row r="336">
      <x:c r="A336" s="21"/>
      <x:c r="B336" s="21"/>
      <x:c r="C336" s="21"/>
      <x:c r="D336" s="21"/>
      <x:c r="E336" s="21"/>
      <x:c r="F336" s="21"/>
      <x:c r="G336" s="21"/>
      <x:c r="H336" s="21"/>
      <x:c r="I336" s="21" t="str">
        <x:f>IF(A336="","",COUNTIF($A$5:$A$504,A336)&gt;1)</x:f>
      </x:c>
      <x:c r="J336" s="21" t="str">
        <x:f>IF(B336="","",COUNTIF('任务记录'!$A$5:$A$104,B336)=1)</x:f>
      </x:c>
      <x:c r="K336" s="21" t="str">
        <x:f>IF(B336="","",COUNTIFS($B$5:$B$504,B336,$E$5:$E$504,"true"))</x:f>
      </x:c>
      <x:c r="L336" s="21" t="str">
        <x:f>IF(A336="","",AND(I336=FALSE,J336=TRUE,K336&lt;=1))</x:f>
      </x:c>
    </x:row>
    <x:row r="337">
      <x:c r="A337" s="21"/>
      <x:c r="B337" s="21"/>
      <x:c r="C337" s="21"/>
      <x:c r="D337" s="21"/>
      <x:c r="E337" s="21"/>
      <x:c r="F337" s="21"/>
      <x:c r="G337" s="21"/>
      <x:c r="H337" s="21"/>
      <x:c r="I337" s="21" t="str">
        <x:f>IF(A337="","",COUNTIF($A$5:$A$504,A337)&gt;1)</x:f>
      </x:c>
      <x:c r="J337" s="21" t="str">
        <x:f>IF(B337="","",COUNTIF('任务记录'!$A$5:$A$104,B337)=1)</x:f>
      </x:c>
      <x:c r="K337" s="21" t="str">
        <x:f>IF(B337="","",COUNTIFS($B$5:$B$504,B337,$E$5:$E$504,"true"))</x:f>
      </x:c>
      <x:c r="L337" s="21" t="str">
        <x:f>IF(A337="","",AND(I337=FALSE,J337=TRUE,K337&lt;=1))</x:f>
      </x:c>
    </x:row>
    <x:row r="338">
      <x:c r="A338" s="21"/>
      <x:c r="B338" s="21"/>
      <x:c r="C338" s="21"/>
      <x:c r="D338" s="21"/>
      <x:c r="E338" s="21"/>
      <x:c r="F338" s="21"/>
      <x:c r="G338" s="21"/>
      <x:c r="H338" s="21"/>
      <x:c r="I338" s="21" t="str">
        <x:f>IF(A338="","",COUNTIF($A$5:$A$504,A338)&gt;1)</x:f>
      </x:c>
      <x:c r="J338" s="21" t="str">
        <x:f>IF(B338="","",COUNTIF('任务记录'!$A$5:$A$104,B338)=1)</x:f>
      </x:c>
      <x:c r="K338" s="21" t="str">
        <x:f>IF(B338="","",COUNTIFS($B$5:$B$504,B338,$E$5:$E$504,"true"))</x:f>
      </x:c>
      <x:c r="L338" s="21" t="str">
        <x:f>IF(A338="","",AND(I338=FALSE,J338=TRUE,K338&lt;=1))</x:f>
      </x:c>
    </x:row>
    <x:row r="339">
      <x:c r="A339" s="21"/>
      <x:c r="B339" s="21"/>
      <x:c r="C339" s="21"/>
      <x:c r="D339" s="21"/>
      <x:c r="E339" s="21"/>
      <x:c r="F339" s="21"/>
      <x:c r="G339" s="21"/>
      <x:c r="H339" s="21"/>
      <x:c r="I339" s="21" t="str">
        <x:f>IF(A339="","",COUNTIF($A$5:$A$504,A339)&gt;1)</x:f>
      </x:c>
      <x:c r="J339" s="21" t="str">
        <x:f>IF(B339="","",COUNTIF('任务记录'!$A$5:$A$104,B339)=1)</x:f>
      </x:c>
      <x:c r="K339" s="21" t="str">
        <x:f>IF(B339="","",COUNTIFS($B$5:$B$504,B339,$E$5:$E$504,"true"))</x:f>
      </x:c>
      <x:c r="L339" s="21" t="str">
        <x:f>IF(A339="","",AND(I339=FALSE,J339=TRUE,K339&lt;=1))</x:f>
      </x:c>
    </x:row>
    <x:row r="340">
      <x:c r="A340" s="21"/>
      <x:c r="B340" s="21"/>
      <x:c r="C340" s="21"/>
      <x:c r="D340" s="21"/>
      <x:c r="E340" s="21"/>
      <x:c r="F340" s="21"/>
      <x:c r="G340" s="21"/>
      <x:c r="H340" s="21"/>
      <x:c r="I340" s="21" t="str">
        <x:f>IF(A340="","",COUNTIF($A$5:$A$504,A340)&gt;1)</x:f>
      </x:c>
      <x:c r="J340" s="21" t="str">
        <x:f>IF(B340="","",COUNTIF('任务记录'!$A$5:$A$104,B340)=1)</x:f>
      </x:c>
      <x:c r="K340" s="21" t="str">
        <x:f>IF(B340="","",COUNTIFS($B$5:$B$504,B340,$E$5:$E$504,"true"))</x:f>
      </x:c>
      <x:c r="L340" s="21" t="str">
        <x:f>IF(A340="","",AND(I340=FALSE,J340=TRUE,K340&lt;=1))</x:f>
      </x:c>
    </x:row>
    <x:row r="341">
      <x:c r="A341" s="21"/>
      <x:c r="B341" s="21"/>
      <x:c r="C341" s="21"/>
      <x:c r="D341" s="21"/>
      <x:c r="E341" s="21"/>
      <x:c r="F341" s="21"/>
      <x:c r="G341" s="21"/>
      <x:c r="H341" s="21"/>
      <x:c r="I341" s="21" t="str">
        <x:f>IF(A341="","",COUNTIF($A$5:$A$504,A341)&gt;1)</x:f>
      </x:c>
      <x:c r="J341" s="21" t="str">
        <x:f>IF(B341="","",COUNTIF('任务记录'!$A$5:$A$104,B341)=1)</x:f>
      </x:c>
      <x:c r="K341" s="21" t="str">
        <x:f>IF(B341="","",COUNTIFS($B$5:$B$504,B341,$E$5:$E$504,"true"))</x:f>
      </x:c>
      <x:c r="L341" s="21" t="str">
        <x:f>IF(A341="","",AND(I341=FALSE,J341=TRUE,K341&lt;=1))</x:f>
      </x:c>
    </x:row>
    <x:row r="342">
      <x:c r="A342" s="21"/>
      <x:c r="B342" s="21"/>
      <x:c r="C342" s="21"/>
      <x:c r="D342" s="21"/>
      <x:c r="E342" s="21"/>
      <x:c r="F342" s="21"/>
      <x:c r="G342" s="21"/>
      <x:c r="H342" s="21"/>
      <x:c r="I342" s="21" t="str">
        <x:f>IF(A342="","",COUNTIF($A$5:$A$504,A342)&gt;1)</x:f>
      </x:c>
      <x:c r="J342" s="21" t="str">
        <x:f>IF(B342="","",COUNTIF('任务记录'!$A$5:$A$104,B342)=1)</x:f>
      </x:c>
      <x:c r="K342" s="21" t="str">
        <x:f>IF(B342="","",COUNTIFS($B$5:$B$504,B342,$E$5:$E$504,"true"))</x:f>
      </x:c>
      <x:c r="L342" s="21" t="str">
        <x:f>IF(A342="","",AND(I342=FALSE,J342=TRUE,K342&lt;=1))</x:f>
      </x:c>
    </x:row>
    <x:row r="343">
      <x:c r="A343" s="21"/>
      <x:c r="B343" s="21"/>
      <x:c r="C343" s="21"/>
      <x:c r="D343" s="21"/>
      <x:c r="E343" s="21"/>
      <x:c r="F343" s="21"/>
      <x:c r="G343" s="21"/>
      <x:c r="H343" s="21"/>
      <x:c r="I343" s="21" t="str">
        <x:f>IF(A343="","",COUNTIF($A$5:$A$504,A343)&gt;1)</x:f>
      </x:c>
      <x:c r="J343" s="21" t="str">
        <x:f>IF(B343="","",COUNTIF('任务记录'!$A$5:$A$104,B343)=1)</x:f>
      </x:c>
      <x:c r="K343" s="21" t="str">
        <x:f>IF(B343="","",COUNTIFS($B$5:$B$504,B343,$E$5:$E$504,"true"))</x:f>
      </x:c>
      <x:c r="L343" s="21" t="str">
        <x:f>IF(A343="","",AND(I343=FALSE,J343=TRUE,K343&lt;=1))</x:f>
      </x:c>
    </x:row>
    <x:row r="344">
      <x:c r="A344" s="21"/>
      <x:c r="B344" s="21"/>
      <x:c r="C344" s="21"/>
      <x:c r="D344" s="21"/>
      <x:c r="E344" s="21"/>
      <x:c r="F344" s="21"/>
      <x:c r="G344" s="21"/>
      <x:c r="H344" s="21"/>
      <x:c r="I344" s="21" t="str">
        <x:f>IF(A344="","",COUNTIF($A$5:$A$504,A344)&gt;1)</x:f>
      </x:c>
      <x:c r="J344" s="21" t="str">
        <x:f>IF(B344="","",COUNTIF('任务记录'!$A$5:$A$104,B344)=1)</x:f>
      </x:c>
      <x:c r="K344" s="21" t="str">
        <x:f>IF(B344="","",COUNTIFS($B$5:$B$504,B344,$E$5:$E$504,"true"))</x:f>
      </x:c>
      <x:c r="L344" s="21" t="str">
        <x:f>IF(A344="","",AND(I344=FALSE,J344=TRUE,K344&lt;=1))</x:f>
      </x:c>
    </x:row>
    <x:row r="345">
      <x:c r="A345" s="21"/>
      <x:c r="B345" s="21"/>
      <x:c r="C345" s="21"/>
      <x:c r="D345" s="21"/>
      <x:c r="E345" s="21"/>
      <x:c r="F345" s="21"/>
      <x:c r="G345" s="21"/>
      <x:c r="H345" s="21"/>
      <x:c r="I345" s="21" t="str">
        <x:f>IF(A345="","",COUNTIF($A$5:$A$504,A345)&gt;1)</x:f>
      </x:c>
      <x:c r="J345" s="21" t="str">
        <x:f>IF(B345="","",COUNTIF('任务记录'!$A$5:$A$104,B345)=1)</x:f>
      </x:c>
      <x:c r="K345" s="21" t="str">
        <x:f>IF(B345="","",COUNTIFS($B$5:$B$504,B345,$E$5:$E$504,"true"))</x:f>
      </x:c>
      <x:c r="L345" s="21" t="str">
        <x:f>IF(A345="","",AND(I345=FALSE,J345=TRUE,K345&lt;=1))</x:f>
      </x:c>
    </x:row>
    <x:row r="346">
      <x:c r="A346" s="21"/>
      <x:c r="B346" s="21"/>
      <x:c r="C346" s="21"/>
      <x:c r="D346" s="21"/>
      <x:c r="E346" s="21"/>
      <x:c r="F346" s="21"/>
      <x:c r="G346" s="21"/>
      <x:c r="H346" s="21"/>
      <x:c r="I346" s="21" t="str">
        <x:f>IF(A346="","",COUNTIF($A$5:$A$504,A346)&gt;1)</x:f>
      </x:c>
      <x:c r="J346" s="21" t="str">
        <x:f>IF(B346="","",COUNTIF('任务记录'!$A$5:$A$104,B346)=1)</x:f>
      </x:c>
      <x:c r="K346" s="21" t="str">
        <x:f>IF(B346="","",COUNTIFS($B$5:$B$504,B346,$E$5:$E$504,"true"))</x:f>
      </x:c>
      <x:c r="L346" s="21" t="str">
        <x:f>IF(A346="","",AND(I346=FALSE,J346=TRUE,K346&lt;=1))</x:f>
      </x:c>
    </x:row>
    <x:row r="347">
      <x:c r="A347" s="21"/>
      <x:c r="B347" s="21"/>
      <x:c r="C347" s="21"/>
      <x:c r="D347" s="21"/>
      <x:c r="E347" s="21"/>
      <x:c r="F347" s="21"/>
      <x:c r="G347" s="21"/>
      <x:c r="H347" s="21"/>
      <x:c r="I347" s="21" t="str">
        <x:f>IF(A347="","",COUNTIF($A$5:$A$504,A347)&gt;1)</x:f>
      </x:c>
      <x:c r="J347" s="21" t="str">
        <x:f>IF(B347="","",COUNTIF('任务记录'!$A$5:$A$104,B347)=1)</x:f>
      </x:c>
      <x:c r="K347" s="21" t="str">
        <x:f>IF(B347="","",COUNTIFS($B$5:$B$504,B347,$E$5:$E$504,"true"))</x:f>
      </x:c>
      <x:c r="L347" s="21" t="str">
        <x:f>IF(A347="","",AND(I347=FALSE,J347=TRUE,K347&lt;=1))</x:f>
      </x:c>
    </x:row>
    <x:row r="348">
      <x:c r="A348" s="21"/>
      <x:c r="B348" s="21"/>
      <x:c r="C348" s="21"/>
      <x:c r="D348" s="21"/>
      <x:c r="E348" s="21"/>
      <x:c r="F348" s="21"/>
      <x:c r="G348" s="21"/>
      <x:c r="H348" s="21"/>
      <x:c r="I348" s="21" t="str">
        <x:f>IF(A348="","",COUNTIF($A$5:$A$504,A348)&gt;1)</x:f>
      </x:c>
      <x:c r="J348" s="21" t="str">
        <x:f>IF(B348="","",COUNTIF('任务记录'!$A$5:$A$104,B348)=1)</x:f>
      </x:c>
      <x:c r="K348" s="21" t="str">
        <x:f>IF(B348="","",COUNTIFS($B$5:$B$504,B348,$E$5:$E$504,"true"))</x:f>
      </x:c>
      <x:c r="L348" s="21" t="str">
        <x:f>IF(A348="","",AND(I348=FALSE,J348=TRUE,K348&lt;=1))</x:f>
      </x:c>
    </x:row>
    <x:row r="349">
      <x:c r="A349" s="21"/>
      <x:c r="B349" s="21"/>
      <x:c r="C349" s="21"/>
      <x:c r="D349" s="21"/>
      <x:c r="E349" s="21"/>
      <x:c r="F349" s="21"/>
      <x:c r="G349" s="21"/>
      <x:c r="H349" s="21"/>
      <x:c r="I349" s="21" t="str">
        <x:f>IF(A349="","",COUNTIF($A$5:$A$504,A349)&gt;1)</x:f>
      </x:c>
      <x:c r="J349" s="21" t="str">
        <x:f>IF(B349="","",COUNTIF('任务记录'!$A$5:$A$104,B349)=1)</x:f>
      </x:c>
      <x:c r="K349" s="21" t="str">
        <x:f>IF(B349="","",COUNTIFS($B$5:$B$504,B349,$E$5:$E$504,"true"))</x:f>
      </x:c>
      <x:c r="L349" s="21" t="str">
        <x:f>IF(A349="","",AND(I349=FALSE,J349=TRUE,K349&lt;=1))</x:f>
      </x:c>
    </x:row>
    <x:row r="350">
      <x:c r="A350" s="21"/>
      <x:c r="B350" s="21"/>
      <x:c r="C350" s="21"/>
      <x:c r="D350" s="21"/>
      <x:c r="E350" s="21"/>
      <x:c r="F350" s="21"/>
      <x:c r="G350" s="21"/>
      <x:c r="H350" s="21"/>
      <x:c r="I350" s="21" t="str">
        <x:f>IF(A350="","",COUNTIF($A$5:$A$504,A350)&gt;1)</x:f>
      </x:c>
      <x:c r="J350" s="21" t="str">
        <x:f>IF(B350="","",COUNTIF('任务记录'!$A$5:$A$104,B350)=1)</x:f>
      </x:c>
      <x:c r="K350" s="21" t="str">
        <x:f>IF(B350="","",COUNTIFS($B$5:$B$504,B350,$E$5:$E$504,"true"))</x:f>
      </x:c>
      <x:c r="L350" s="21" t="str">
        <x:f>IF(A350="","",AND(I350=FALSE,J350=TRUE,K350&lt;=1))</x:f>
      </x:c>
    </x:row>
    <x:row r="351">
      <x:c r="A351" s="21"/>
      <x:c r="B351" s="21"/>
      <x:c r="C351" s="21"/>
      <x:c r="D351" s="21"/>
      <x:c r="E351" s="21"/>
      <x:c r="F351" s="21"/>
      <x:c r="G351" s="21"/>
      <x:c r="H351" s="21"/>
      <x:c r="I351" s="21" t="str">
        <x:f>IF(A351="","",COUNTIF($A$5:$A$504,A351)&gt;1)</x:f>
      </x:c>
      <x:c r="J351" s="21" t="str">
        <x:f>IF(B351="","",COUNTIF('任务记录'!$A$5:$A$104,B351)=1)</x:f>
      </x:c>
      <x:c r="K351" s="21" t="str">
        <x:f>IF(B351="","",COUNTIFS($B$5:$B$504,B351,$E$5:$E$504,"true"))</x:f>
      </x:c>
      <x:c r="L351" s="21" t="str">
        <x:f>IF(A351="","",AND(I351=FALSE,J351=TRUE,K351&lt;=1))</x:f>
      </x:c>
    </x:row>
    <x:row r="352">
      <x:c r="A352" s="21"/>
      <x:c r="B352" s="21"/>
      <x:c r="C352" s="21"/>
      <x:c r="D352" s="21"/>
      <x:c r="E352" s="21"/>
      <x:c r="F352" s="21"/>
      <x:c r="G352" s="21"/>
      <x:c r="H352" s="21"/>
      <x:c r="I352" s="21" t="str">
        <x:f>IF(A352="","",COUNTIF($A$5:$A$504,A352)&gt;1)</x:f>
      </x:c>
      <x:c r="J352" s="21" t="str">
        <x:f>IF(B352="","",COUNTIF('任务记录'!$A$5:$A$104,B352)=1)</x:f>
      </x:c>
      <x:c r="K352" s="21" t="str">
        <x:f>IF(B352="","",COUNTIFS($B$5:$B$504,B352,$E$5:$E$504,"true"))</x:f>
      </x:c>
      <x:c r="L352" s="21" t="str">
        <x:f>IF(A352="","",AND(I352=FALSE,J352=TRUE,K352&lt;=1))</x:f>
      </x:c>
    </x:row>
    <x:row r="353">
      <x:c r="A353" s="21"/>
      <x:c r="B353" s="21"/>
      <x:c r="C353" s="21"/>
      <x:c r="D353" s="21"/>
      <x:c r="E353" s="21"/>
      <x:c r="F353" s="21"/>
      <x:c r="G353" s="21"/>
      <x:c r="H353" s="21"/>
      <x:c r="I353" s="21" t="str">
        <x:f>IF(A353="","",COUNTIF($A$5:$A$504,A353)&gt;1)</x:f>
      </x:c>
      <x:c r="J353" s="21" t="str">
        <x:f>IF(B353="","",COUNTIF('任务记录'!$A$5:$A$104,B353)=1)</x:f>
      </x:c>
      <x:c r="K353" s="21" t="str">
        <x:f>IF(B353="","",COUNTIFS($B$5:$B$504,B353,$E$5:$E$504,"true"))</x:f>
      </x:c>
      <x:c r="L353" s="21" t="str">
        <x:f>IF(A353="","",AND(I353=FALSE,J353=TRUE,K353&lt;=1))</x:f>
      </x:c>
    </x:row>
    <x:row r="354">
      <x:c r="A354" s="21"/>
      <x:c r="B354" s="21"/>
      <x:c r="C354" s="21"/>
      <x:c r="D354" s="21"/>
      <x:c r="E354" s="21"/>
      <x:c r="F354" s="21"/>
      <x:c r="G354" s="21"/>
      <x:c r="H354" s="21"/>
      <x:c r="I354" s="21" t="str">
        <x:f>IF(A354="","",COUNTIF($A$5:$A$504,A354)&gt;1)</x:f>
      </x:c>
      <x:c r="J354" s="21" t="str">
        <x:f>IF(B354="","",COUNTIF('任务记录'!$A$5:$A$104,B354)=1)</x:f>
      </x:c>
      <x:c r="K354" s="21" t="str">
        <x:f>IF(B354="","",COUNTIFS($B$5:$B$504,B354,$E$5:$E$504,"true"))</x:f>
      </x:c>
      <x:c r="L354" s="21" t="str">
        <x:f>IF(A354="","",AND(I354=FALSE,J354=TRUE,K354&lt;=1))</x:f>
      </x:c>
    </x:row>
    <x:row r="355">
      <x:c r="A355" s="21"/>
      <x:c r="B355" s="21"/>
      <x:c r="C355" s="21"/>
      <x:c r="D355" s="21"/>
      <x:c r="E355" s="21"/>
      <x:c r="F355" s="21"/>
      <x:c r="G355" s="21"/>
      <x:c r="H355" s="21"/>
      <x:c r="I355" s="21" t="str">
        <x:f>IF(A355="","",COUNTIF($A$5:$A$504,A355)&gt;1)</x:f>
      </x:c>
      <x:c r="J355" s="21" t="str">
        <x:f>IF(B355="","",COUNTIF('任务记录'!$A$5:$A$104,B355)=1)</x:f>
      </x:c>
      <x:c r="K355" s="21" t="str">
        <x:f>IF(B355="","",COUNTIFS($B$5:$B$504,B355,$E$5:$E$504,"true"))</x:f>
      </x:c>
      <x:c r="L355" s="21" t="str">
        <x:f>IF(A355="","",AND(I355=FALSE,J355=TRUE,K355&lt;=1))</x:f>
      </x:c>
    </x:row>
    <x:row r="356">
      <x:c r="A356" s="21"/>
      <x:c r="B356" s="21"/>
      <x:c r="C356" s="21"/>
      <x:c r="D356" s="21"/>
      <x:c r="E356" s="21"/>
      <x:c r="F356" s="21"/>
      <x:c r="G356" s="21"/>
      <x:c r="H356" s="21"/>
      <x:c r="I356" s="21" t="str">
        <x:f>IF(A356="","",COUNTIF($A$5:$A$504,A356)&gt;1)</x:f>
      </x:c>
      <x:c r="J356" s="21" t="str">
        <x:f>IF(B356="","",COUNTIF('任务记录'!$A$5:$A$104,B356)=1)</x:f>
      </x:c>
      <x:c r="K356" s="21" t="str">
        <x:f>IF(B356="","",COUNTIFS($B$5:$B$504,B356,$E$5:$E$504,"true"))</x:f>
      </x:c>
      <x:c r="L356" s="21" t="str">
        <x:f>IF(A356="","",AND(I356=FALSE,J356=TRUE,K356&lt;=1))</x:f>
      </x:c>
    </x:row>
    <x:row r="357">
      <x:c r="A357" s="21"/>
      <x:c r="B357" s="21"/>
      <x:c r="C357" s="21"/>
      <x:c r="D357" s="21"/>
      <x:c r="E357" s="21"/>
      <x:c r="F357" s="21"/>
      <x:c r="G357" s="21"/>
      <x:c r="H357" s="21"/>
      <x:c r="I357" s="21" t="str">
        <x:f>IF(A357="","",COUNTIF($A$5:$A$504,A357)&gt;1)</x:f>
      </x:c>
      <x:c r="J357" s="21" t="str">
        <x:f>IF(B357="","",COUNTIF('任务记录'!$A$5:$A$104,B357)=1)</x:f>
      </x:c>
      <x:c r="K357" s="21" t="str">
        <x:f>IF(B357="","",COUNTIFS($B$5:$B$504,B357,$E$5:$E$504,"true"))</x:f>
      </x:c>
      <x:c r="L357" s="21" t="str">
        <x:f>IF(A357="","",AND(I357=FALSE,J357=TRUE,K357&lt;=1))</x:f>
      </x:c>
    </x:row>
    <x:row r="358">
      <x:c r="A358" s="21"/>
      <x:c r="B358" s="21"/>
      <x:c r="C358" s="21"/>
      <x:c r="D358" s="21"/>
      <x:c r="E358" s="21"/>
      <x:c r="F358" s="21"/>
      <x:c r="G358" s="21"/>
      <x:c r="H358" s="21"/>
      <x:c r="I358" s="21" t="str">
        <x:f>IF(A358="","",COUNTIF($A$5:$A$504,A358)&gt;1)</x:f>
      </x:c>
      <x:c r="J358" s="21" t="str">
        <x:f>IF(B358="","",COUNTIF('任务记录'!$A$5:$A$104,B358)=1)</x:f>
      </x:c>
      <x:c r="K358" s="21" t="str">
        <x:f>IF(B358="","",COUNTIFS($B$5:$B$504,B358,$E$5:$E$504,"true"))</x:f>
      </x:c>
      <x:c r="L358" s="21" t="str">
        <x:f>IF(A358="","",AND(I358=FALSE,J358=TRUE,K358&lt;=1))</x:f>
      </x:c>
    </x:row>
    <x:row r="359">
      <x:c r="A359" s="21"/>
      <x:c r="B359" s="21"/>
      <x:c r="C359" s="21"/>
      <x:c r="D359" s="21"/>
      <x:c r="E359" s="21"/>
      <x:c r="F359" s="21"/>
      <x:c r="G359" s="21"/>
      <x:c r="H359" s="21"/>
      <x:c r="I359" s="21" t="str">
        <x:f>IF(A359="","",COUNTIF($A$5:$A$504,A359)&gt;1)</x:f>
      </x:c>
      <x:c r="J359" s="21" t="str">
        <x:f>IF(B359="","",COUNTIF('任务记录'!$A$5:$A$104,B359)=1)</x:f>
      </x:c>
      <x:c r="K359" s="21" t="str">
        <x:f>IF(B359="","",COUNTIFS($B$5:$B$504,B359,$E$5:$E$504,"true"))</x:f>
      </x:c>
      <x:c r="L359" s="21" t="str">
        <x:f>IF(A359="","",AND(I359=FALSE,J359=TRUE,K359&lt;=1))</x:f>
      </x:c>
    </x:row>
    <x:row r="360">
      <x:c r="A360" s="21"/>
      <x:c r="B360" s="21"/>
      <x:c r="C360" s="21"/>
      <x:c r="D360" s="21"/>
      <x:c r="E360" s="21"/>
      <x:c r="F360" s="21"/>
      <x:c r="G360" s="21"/>
      <x:c r="H360" s="21"/>
      <x:c r="I360" s="21" t="str">
        <x:f>IF(A360="","",COUNTIF($A$5:$A$504,A360)&gt;1)</x:f>
      </x:c>
      <x:c r="J360" s="21" t="str">
        <x:f>IF(B360="","",COUNTIF('任务记录'!$A$5:$A$104,B360)=1)</x:f>
      </x:c>
      <x:c r="K360" s="21" t="str">
        <x:f>IF(B360="","",COUNTIFS($B$5:$B$504,B360,$E$5:$E$504,"true"))</x:f>
      </x:c>
      <x:c r="L360" s="21" t="str">
        <x:f>IF(A360="","",AND(I360=FALSE,J360=TRUE,K360&lt;=1))</x:f>
      </x:c>
    </x:row>
    <x:row r="361">
      <x:c r="A361" s="21"/>
      <x:c r="B361" s="21"/>
      <x:c r="C361" s="21"/>
      <x:c r="D361" s="21"/>
      <x:c r="E361" s="21"/>
      <x:c r="F361" s="21"/>
      <x:c r="G361" s="21"/>
      <x:c r="H361" s="21"/>
      <x:c r="I361" s="21" t="str">
        <x:f>IF(A361="","",COUNTIF($A$5:$A$504,A361)&gt;1)</x:f>
      </x:c>
      <x:c r="J361" s="21" t="str">
        <x:f>IF(B361="","",COUNTIF('任务记录'!$A$5:$A$104,B361)=1)</x:f>
      </x:c>
      <x:c r="K361" s="21" t="str">
        <x:f>IF(B361="","",COUNTIFS($B$5:$B$504,B361,$E$5:$E$504,"true"))</x:f>
      </x:c>
      <x:c r="L361" s="21" t="str">
        <x:f>IF(A361="","",AND(I361=FALSE,J361=TRUE,K361&lt;=1))</x:f>
      </x:c>
    </x:row>
    <x:row r="362">
      <x:c r="A362" s="21"/>
      <x:c r="B362" s="21"/>
      <x:c r="C362" s="21"/>
      <x:c r="D362" s="21"/>
      <x:c r="E362" s="21"/>
      <x:c r="F362" s="21"/>
      <x:c r="G362" s="21"/>
      <x:c r="H362" s="21"/>
      <x:c r="I362" s="21" t="str">
        <x:f>IF(A362="","",COUNTIF($A$5:$A$504,A362)&gt;1)</x:f>
      </x:c>
      <x:c r="J362" s="21" t="str">
        <x:f>IF(B362="","",COUNTIF('任务记录'!$A$5:$A$104,B362)=1)</x:f>
      </x:c>
      <x:c r="K362" s="21" t="str">
        <x:f>IF(B362="","",COUNTIFS($B$5:$B$504,B362,$E$5:$E$504,"true"))</x:f>
      </x:c>
      <x:c r="L362" s="21" t="str">
        <x:f>IF(A362="","",AND(I362=FALSE,J362=TRUE,K362&lt;=1))</x:f>
      </x:c>
    </x:row>
    <x:row r="363">
      <x:c r="A363" s="21"/>
      <x:c r="B363" s="21"/>
      <x:c r="C363" s="21"/>
      <x:c r="D363" s="21"/>
      <x:c r="E363" s="21"/>
      <x:c r="F363" s="21"/>
      <x:c r="G363" s="21"/>
      <x:c r="H363" s="21"/>
      <x:c r="I363" s="21" t="str">
        <x:f>IF(A363="","",COUNTIF($A$5:$A$504,A363)&gt;1)</x:f>
      </x:c>
      <x:c r="J363" s="21" t="str">
        <x:f>IF(B363="","",COUNTIF('任务记录'!$A$5:$A$104,B363)=1)</x:f>
      </x:c>
      <x:c r="K363" s="21" t="str">
        <x:f>IF(B363="","",COUNTIFS($B$5:$B$504,B363,$E$5:$E$504,"true"))</x:f>
      </x:c>
      <x:c r="L363" s="21" t="str">
        <x:f>IF(A363="","",AND(I363=FALSE,J363=TRUE,K363&lt;=1))</x:f>
      </x:c>
    </x:row>
    <x:row r="364">
      <x:c r="A364" s="21"/>
      <x:c r="B364" s="21"/>
      <x:c r="C364" s="21"/>
      <x:c r="D364" s="21"/>
      <x:c r="E364" s="21"/>
      <x:c r="F364" s="21"/>
      <x:c r="G364" s="21"/>
      <x:c r="H364" s="21"/>
      <x:c r="I364" s="21" t="str">
        <x:f>IF(A364="","",COUNTIF($A$5:$A$504,A364)&gt;1)</x:f>
      </x:c>
      <x:c r="J364" s="21" t="str">
        <x:f>IF(B364="","",COUNTIF('任务记录'!$A$5:$A$104,B364)=1)</x:f>
      </x:c>
      <x:c r="K364" s="21" t="str">
        <x:f>IF(B364="","",COUNTIFS($B$5:$B$504,B364,$E$5:$E$504,"true"))</x:f>
      </x:c>
      <x:c r="L364" s="21" t="str">
        <x:f>IF(A364="","",AND(I364=FALSE,J364=TRUE,K364&lt;=1))</x:f>
      </x:c>
    </x:row>
    <x:row r="365">
      <x:c r="A365" s="21"/>
      <x:c r="B365" s="21"/>
      <x:c r="C365" s="21"/>
      <x:c r="D365" s="21"/>
      <x:c r="E365" s="21"/>
      <x:c r="F365" s="21"/>
      <x:c r="G365" s="21"/>
      <x:c r="H365" s="21"/>
      <x:c r="I365" s="21" t="str">
        <x:f>IF(A365="","",COUNTIF($A$5:$A$504,A365)&gt;1)</x:f>
      </x:c>
      <x:c r="J365" s="21" t="str">
        <x:f>IF(B365="","",COUNTIF('任务记录'!$A$5:$A$104,B365)=1)</x:f>
      </x:c>
      <x:c r="K365" s="21" t="str">
        <x:f>IF(B365="","",COUNTIFS($B$5:$B$504,B365,$E$5:$E$504,"true"))</x:f>
      </x:c>
      <x:c r="L365" s="21" t="str">
        <x:f>IF(A365="","",AND(I365=FALSE,J365=TRUE,K365&lt;=1))</x:f>
      </x:c>
    </x:row>
    <x:row r="366">
      <x:c r="A366" s="21"/>
      <x:c r="B366" s="21"/>
      <x:c r="C366" s="21"/>
      <x:c r="D366" s="21"/>
      <x:c r="E366" s="21"/>
      <x:c r="F366" s="21"/>
      <x:c r="G366" s="21"/>
      <x:c r="H366" s="21"/>
      <x:c r="I366" s="21" t="str">
        <x:f>IF(A366="","",COUNTIF($A$5:$A$504,A366)&gt;1)</x:f>
      </x:c>
      <x:c r="J366" s="21" t="str">
        <x:f>IF(B366="","",COUNTIF('任务记录'!$A$5:$A$104,B366)=1)</x:f>
      </x:c>
      <x:c r="K366" s="21" t="str">
        <x:f>IF(B366="","",COUNTIFS($B$5:$B$504,B366,$E$5:$E$504,"true"))</x:f>
      </x:c>
      <x:c r="L366" s="21" t="str">
        <x:f>IF(A366="","",AND(I366=FALSE,J366=TRUE,K366&lt;=1))</x:f>
      </x:c>
    </x:row>
    <x:row r="367">
      <x:c r="A367" s="21"/>
      <x:c r="B367" s="21"/>
      <x:c r="C367" s="21"/>
      <x:c r="D367" s="21"/>
      <x:c r="E367" s="21"/>
      <x:c r="F367" s="21"/>
      <x:c r="G367" s="21"/>
      <x:c r="H367" s="21"/>
      <x:c r="I367" s="21" t="str">
        <x:f>IF(A367="","",COUNTIF($A$5:$A$504,A367)&gt;1)</x:f>
      </x:c>
      <x:c r="J367" s="21" t="str">
        <x:f>IF(B367="","",COUNTIF('任务记录'!$A$5:$A$104,B367)=1)</x:f>
      </x:c>
      <x:c r="K367" s="21" t="str">
        <x:f>IF(B367="","",COUNTIFS($B$5:$B$504,B367,$E$5:$E$504,"true"))</x:f>
      </x:c>
      <x:c r="L367" s="21" t="str">
        <x:f>IF(A367="","",AND(I367=FALSE,J367=TRUE,K367&lt;=1))</x:f>
      </x:c>
    </x:row>
    <x:row r="368">
      <x:c r="A368" s="21"/>
      <x:c r="B368" s="21"/>
      <x:c r="C368" s="21"/>
      <x:c r="D368" s="21"/>
      <x:c r="E368" s="21"/>
      <x:c r="F368" s="21"/>
      <x:c r="G368" s="21"/>
      <x:c r="H368" s="21"/>
      <x:c r="I368" s="21" t="str">
        <x:f>IF(A368="","",COUNTIF($A$5:$A$504,A368)&gt;1)</x:f>
      </x:c>
      <x:c r="J368" s="21" t="str">
        <x:f>IF(B368="","",COUNTIF('任务记录'!$A$5:$A$104,B368)=1)</x:f>
      </x:c>
      <x:c r="K368" s="21" t="str">
        <x:f>IF(B368="","",COUNTIFS($B$5:$B$504,B368,$E$5:$E$504,"true"))</x:f>
      </x:c>
      <x:c r="L368" s="21" t="str">
        <x:f>IF(A368="","",AND(I368=FALSE,J368=TRUE,K368&lt;=1))</x:f>
      </x:c>
    </x:row>
    <x:row r="369">
      <x:c r="A369" s="21"/>
      <x:c r="B369" s="21"/>
      <x:c r="C369" s="21"/>
      <x:c r="D369" s="21"/>
      <x:c r="E369" s="21"/>
      <x:c r="F369" s="21"/>
      <x:c r="G369" s="21"/>
      <x:c r="H369" s="21"/>
      <x:c r="I369" s="21" t="str">
        <x:f>IF(A369="","",COUNTIF($A$5:$A$504,A369)&gt;1)</x:f>
      </x:c>
      <x:c r="J369" s="21" t="str">
        <x:f>IF(B369="","",COUNTIF('任务记录'!$A$5:$A$104,B369)=1)</x:f>
      </x:c>
      <x:c r="K369" s="21" t="str">
        <x:f>IF(B369="","",COUNTIFS($B$5:$B$504,B369,$E$5:$E$504,"true"))</x:f>
      </x:c>
      <x:c r="L369" s="21" t="str">
        <x:f>IF(A369="","",AND(I369=FALSE,J369=TRUE,K369&lt;=1))</x:f>
      </x:c>
    </x:row>
    <x:row r="370">
      <x:c r="A370" s="21"/>
      <x:c r="B370" s="21"/>
      <x:c r="C370" s="21"/>
      <x:c r="D370" s="21"/>
      <x:c r="E370" s="21"/>
      <x:c r="F370" s="21"/>
      <x:c r="G370" s="21"/>
      <x:c r="H370" s="21"/>
      <x:c r="I370" s="21" t="str">
        <x:f>IF(A370="","",COUNTIF($A$5:$A$504,A370)&gt;1)</x:f>
      </x:c>
      <x:c r="J370" s="21" t="str">
        <x:f>IF(B370="","",COUNTIF('任务记录'!$A$5:$A$104,B370)=1)</x:f>
      </x:c>
      <x:c r="K370" s="21" t="str">
        <x:f>IF(B370="","",COUNTIFS($B$5:$B$504,B370,$E$5:$E$504,"true"))</x:f>
      </x:c>
      <x:c r="L370" s="21" t="str">
        <x:f>IF(A370="","",AND(I370=FALSE,J370=TRUE,K370&lt;=1))</x:f>
      </x:c>
    </x:row>
    <x:row r="371">
      <x:c r="A371" s="21"/>
      <x:c r="B371" s="21"/>
      <x:c r="C371" s="21"/>
      <x:c r="D371" s="21"/>
      <x:c r="E371" s="21"/>
      <x:c r="F371" s="21"/>
      <x:c r="G371" s="21"/>
      <x:c r="H371" s="21"/>
      <x:c r="I371" s="21" t="str">
        <x:f>IF(A371="","",COUNTIF($A$5:$A$504,A371)&gt;1)</x:f>
      </x:c>
      <x:c r="J371" s="21" t="str">
        <x:f>IF(B371="","",COUNTIF('任务记录'!$A$5:$A$104,B371)=1)</x:f>
      </x:c>
      <x:c r="K371" s="21" t="str">
        <x:f>IF(B371="","",COUNTIFS($B$5:$B$504,B371,$E$5:$E$504,"true"))</x:f>
      </x:c>
      <x:c r="L371" s="21" t="str">
        <x:f>IF(A371="","",AND(I371=FALSE,J371=TRUE,K371&lt;=1))</x:f>
      </x:c>
    </x:row>
    <x:row r="372">
      <x:c r="A372" s="21"/>
      <x:c r="B372" s="21"/>
      <x:c r="C372" s="21"/>
      <x:c r="D372" s="21"/>
      <x:c r="E372" s="21"/>
      <x:c r="F372" s="21"/>
      <x:c r="G372" s="21"/>
      <x:c r="H372" s="21"/>
      <x:c r="I372" s="21" t="str">
        <x:f>IF(A372="","",COUNTIF($A$5:$A$504,A372)&gt;1)</x:f>
      </x:c>
      <x:c r="J372" s="21" t="str">
        <x:f>IF(B372="","",COUNTIF('任务记录'!$A$5:$A$104,B372)=1)</x:f>
      </x:c>
      <x:c r="K372" s="21" t="str">
        <x:f>IF(B372="","",COUNTIFS($B$5:$B$504,B372,$E$5:$E$504,"true"))</x:f>
      </x:c>
      <x:c r="L372" s="21" t="str">
        <x:f>IF(A372="","",AND(I372=FALSE,J372=TRUE,K372&lt;=1))</x:f>
      </x:c>
    </x:row>
    <x:row r="373">
      <x:c r="A373" s="21"/>
      <x:c r="B373" s="21"/>
      <x:c r="C373" s="21"/>
      <x:c r="D373" s="21"/>
      <x:c r="E373" s="21"/>
      <x:c r="F373" s="21"/>
      <x:c r="G373" s="21"/>
      <x:c r="H373" s="21"/>
      <x:c r="I373" s="21" t="str">
        <x:f>IF(A373="","",COUNTIF($A$5:$A$504,A373)&gt;1)</x:f>
      </x:c>
      <x:c r="J373" s="21" t="str">
        <x:f>IF(B373="","",COUNTIF('任务记录'!$A$5:$A$104,B373)=1)</x:f>
      </x:c>
      <x:c r="K373" s="21" t="str">
        <x:f>IF(B373="","",COUNTIFS($B$5:$B$504,B373,$E$5:$E$504,"true"))</x:f>
      </x:c>
      <x:c r="L373" s="21" t="str">
        <x:f>IF(A373="","",AND(I373=FALSE,J373=TRUE,K373&lt;=1))</x:f>
      </x:c>
    </x:row>
    <x:row r="374">
      <x:c r="A374" s="21"/>
      <x:c r="B374" s="21"/>
      <x:c r="C374" s="21"/>
      <x:c r="D374" s="21"/>
      <x:c r="E374" s="21"/>
      <x:c r="F374" s="21"/>
      <x:c r="G374" s="21"/>
      <x:c r="H374" s="21"/>
      <x:c r="I374" s="21" t="str">
        <x:f>IF(A374="","",COUNTIF($A$5:$A$504,A374)&gt;1)</x:f>
      </x:c>
      <x:c r="J374" s="21" t="str">
        <x:f>IF(B374="","",COUNTIF('任务记录'!$A$5:$A$104,B374)=1)</x:f>
      </x:c>
      <x:c r="K374" s="21" t="str">
        <x:f>IF(B374="","",COUNTIFS($B$5:$B$504,B374,$E$5:$E$504,"true"))</x:f>
      </x:c>
      <x:c r="L374" s="21" t="str">
        <x:f>IF(A374="","",AND(I374=FALSE,J374=TRUE,K374&lt;=1))</x:f>
      </x:c>
    </x:row>
    <x:row r="375">
      <x:c r="A375" s="21"/>
      <x:c r="B375" s="21"/>
      <x:c r="C375" s="21"/>
      <x:c r="D375" s="21"/>
      <x:c r="E375" s="21"/>
      <x:c r="F375" s="21"/>
      <x:c r="G375" s="21"/>
      <x:c r="H375" s="21"/>
      <x:c r="I375" s="21" t="str">
        <x:f>IF(A375="","",COUNTIF($A$5:$A$504,A375)&gt;1)</x:f>
      </x:c>
      <x:c r="J375" s="21" t="str">
        <x:f>IF(B375="","",COUNTIF('任务记录'!$A$5:$A$104,B375)=1)</x:f>
      </x:c>
      <x:c r="K375" s="21" t="str">
        <x:f>IF(B375="","",COUNTIFS($B$5:$B$504,B375,$E$5:$E$504,"true"))</x:f>
      </x:c>
      <x:c r="L375" s="21" t="str">
        <x:f>IF(A375="","",AND(I375=FALSE,J375=TRUE,K375&lt;=1))</x:f>
      </x:c>
    </x:row>
    <x:row r="376">
      <x:c r="A376" s="21"/>
      <x:c r="B376" s="21"/>
      <x:c r="C376" s="21"/>
      <x:c r="D376" s="21"/>
      <x:c r="E376" s="21"/>
      <x:c r="F376" s="21"/>
      <x:c r="G376" s="21"/>
      <x:c r="H376" s="21"/>
      <x:c r="I376" s="21" t="str">
        <x:f>IF(A376="","",COUNTIF($A$5:$A$504,A376)&gt;1)</x:f>
      </x:c>
      <x:c r="J376" s="21" t="str">
        <x:f>IF(B376="","",COUNTIF('任务记录'!$A$5:$A$104,B376)=1)</x:f>
      </x:c>
      <x:c r="K376" s="21" t="str">
        <x:f>IF(B376="","",COUNTIFS($B$5:$B$504,B376,$E$5:$E$504,"true"))</x:f>
      </x:c>
      <x:c r="L376" s="21" t="str">
        <x:f>IF(A376="","",AND(I376=FALSE,J376=TRUE,K376&lt;=1))</x:f>
      </x:c>
    </x:row>
    <x:row r="377">
      <x:c r="A377" s="21"/>
      <x:c r="B377" s="21"/>
      <x:c r="C377" s="21"/>
      <x:c r="D377" s="21"/>
      <x:c r="E377" s="21"/>
      <x:c r="F377" s="21"/>
      <x:c r="G377" s="21"/>
      <x:c r="H377" s="21"/>
      <x:c r="I377" s="21" t="str">
        <x:f>IF(A377="","",COUNTIF($A$5:$A$504,A377)&gt;1)</x:f>
      </x:c>
      <x:c r="J377" s="21" t="str">
        <x:f>IF(B377="","",COUNTIF('任务记录'!$A$5:$A$104,B377)=1)</x:f>
      </x:c>
      <x:c r="K377" s="21" t="str">
        <x:f>IF(B377="","",COUNTIFS($B$5:$B$504,B377,$E$5:$E$504,"true"))</x:f>
      </x:c>
      <x:c r="L377" s="21" t="str">
        <x:f>IF(A377="","",AND(I377=FALSE,J377=TRUE,K377&lt;=1))</x:f>
      </x:c>
    </x:row>
    <x:row r="378">
      <x:c r="A378" s="21"/>
      <x:c r="B378" s="21"/>
      <x:c r="C378" s="21"/>
      <x:c r="D378" s="21"/>
      <x:c r="E378" s="21"/>
      <x:c r="F378" s="21"/>
      <x:c r="G378" s="21"/>
      <x:c r="H378" s="21"/>
      <x:c r="I378" s="21" t="str">
        <x:f>IF(A378="","",COUNTIF($A$5:$A$504,A378)&gt;1)</x:f>
      </x:c>
      <x:c r="J378" s="21" t="str">
        <x:f>IF(B378="","",COUNTIF('任务记录'!$A$5:$A$104,B378)=1)</x:f>
      </x:c>
      <x:c r="K378" s="21" t="str">
        <x:f>IF(B378="","",COUNTIFS($B$5:$B$504,B378,$E$5:$E$504,"true"))</x:f>
      </x:c>
      <x:c r="L378" s="21" t="str">
        <x:f>IF(A378="","",AND(I378=FALSE,J378=TRUE,K378&lt;=1))</x:f>
      </x:c>
    </x:row>
    <x:row r="379">
      <x:c r="A379" s="21"/>
      <x:c r="B379" s="21"/>
      <x:c r="C379" s="21"/>
      <x:c r="D379" s="21"/>
      <x:c r="E379" s="21"/>
      <x:c r="F379" s="21"/>
      <x:c r="G379" s="21"/>
      <x:c r="H379" s="21"/>
      <x:c r="I379" s="21" t="str">
        <x:f>IF(A379="","",COUNTIF($A$5:$A$504,A379)&gt;1)</x:f>
      </x:c>
      <x:c r="J379" s="21" t="str">
        <x:f>IF(B379="","",COUNTIF('任务记录'!$A$5:$A$104,B379)=1)</x:f>
      </x:c>
      <x:c r="K379" s="21" t="str">
        <x:f>IF(B379="","",COUNTIFS($B$5:$B$504,B379,$E$5:$E$504,"true"))</x:f>
      </x:c>
      <x:c r="L379" s="21" t="str">
        <x:f>IF(A379="","",AND(I379=FALSE,J379=TRUE,K379&lt;=1))</x:f>
      </x:c>
    </x:row>
    <x:row r="380">
      <x:c r="A380" s="21"/>
      <x:c r="B380" s="21"/>
      <x:c r="C380" s="21"/>
      <x:c r="D380" s="21"/>
      <x:c r="E380" s="21"/>
      <x:c r="F380" s="21"/>
      <x:c r="G380" s="21"/>
      <x:c r="H380" s="21"/>
      <x:c r="I380" s="21" t="str">
        <x:f>IF(A380="","",COUNTIF($A$5:$A$504,A380)&gt;1)</x:f>
      </x:c>
      <x:c r="J380" s="21" t="str">
        <x:f>IF(B380="","",COUNTIF('任务记录'!$A$5:$A$104,B380)=1)</x:f>
      </x:c>
      <x:c r="K380" s="21" t="str">
        <x:f>IF(B380="","",COUNTIFS($B$5:$B$504,B380,$E$5:$E$504,"true"))</x:f>
      </x:c>
      <x:c r="L380" s="21" t="str">
        <x:f>IF(A380="","",AND(I380=FALSE,J380=TRUE,K380&lt;=1))</x:f>
      </x:c>
    </x:row>
    <x:row r="381">
      <x:c r="A381" s="21"/>
      <x:c r="B381" s="21"/>
      <x:c r="C381" s="21"/>
      <x:c r="D381" s="21"/>
      <x:c r="E381" s="21"/>
      <x:c r="F381" s="21"/>
      <x:c r="G381" s="21"/>
      <x:c r="H381" s="21"/>
      <x:c r="I381" s="21" t="str">
        <x:f>IF(A381="","",COUNTIF($A$5:$A$504,A381)&gt;1)</x:f>
      </x:c>
      <x:c r="J381" s="21" t="str">
        <x:f>IF(B381="","",COUNTIF('任务记录'!$A$5:$A$104,B381)=1)</x:f>
      </x:c>
      <x:c r="K381" s="21" t="str">
        <x:f>IF(B381="","",COUNTIFS($B$5:$B$504,B381,$E$5:$E$504,"true"))</x:f>
      </x:c>
      <x:c r="L381" s="21" t="str">
        <x:f>IF(A381="","",AND(I381=FALSE,J381=TRUE,K381&lt;=1))</x:f>
      </x:c>
    </x:row>
    <x:row r="382">
      <x:c r="A382" s="21"/>
      <x:c r="B382" s="21"/>
      <x:c r="C382" s="21"/>
      <x:c r="D382" s="21"/>
      <x:c r="E382" s="21"/>
      <x:c r="F382" s="21"/>
      <x:c r="G382" s="21"/>
      <x:c r="H382" s="21"/>
      <x:c r="I382" s="21" t="str">
        <x:f>IF(A382="","",COUNTIF($A$5:$A$504,A382)&gt;1)</x:f>
      </x:c>
      <x:c r="J382" s="21" t="str">
        <x:f>IF(B382="","",COUNTIF('任务记录'!$A$5:$A$104,B382)=1)</x:f>
      </x:c>
      <x:c r="K382" s="21" t="str">
        <x:f>IF(B382="","",COUNTIFS($B$5:$B$504,B382,$E$5:$E$504,"true"))</x:f>
      </x:c>
      <x:c r="L382" s="21" t="str">
        <x:f>IF(A382="","",AND(I382=FALSE,J382=TRUE,K382&lt;=1))</x:f>
      </x:c>
    </x:row>
    <x:row r="383">
      <x:c r="A383" s="21"/>
      <x:c r="B383" s="21"/>
      <x:c r="C383" s="21"/>
      <x:c r="D383" s="21"/>
      <x:c r="E383" s="21"/>
      <x:c r="F383" s="21"/>
      <x:c r="G383" s="21"/>
      <x:c r="H383" s="21"/>
      <x:c r="I383" s="21" t="str">
        <x:f>IF(A383="","",COUNTIF($A$5:$A$504,A383)&gt;1)</x:f>
      </x:c>
      <x:c r="J383" s="21" t="str">
        <x:f>IF(B383="","",COUNTIF('任务记录'!$A$5:$A$104,B383)=1)</x:f>
      </x:c>
      <x:c r="K383" s="21" t="str">
        <x:f>IF(B383="","",COUNTIFS($B$5:$B$504,B383,$E$5:$E$504,"true"))</x:f>
      </x:c>
      <x:c r="L383" s="21" t="str">
        <x:f>IF(A383="","",AND(I383=FALSE,J383=TRUE,K383&lt;=1))</x:f>
      </x:c>
    </x:row>
    <x:row r="384">
      <x:c r="A384" s="21"/>
      <x:c r="B384" s="21"/>
      <x:c r="C384" s="21"/>
      <x:c r="D384" s="21"/>
      <x:c r="E384" s="21"/>
      <x:c r="F384" s="21"/>
      <x:c r="G384" s="21"/>
      <x:c r="H384" s="21"/>
      <x:c r="I384" s="21" t="str">
        <x:f>IF(A384="","",COUNTIF($A$5:$A$504,A384)&gt;1)</x:f>
      </x:c>
      <x:c r="J384" s="21" t="str">
        <x:f>IF(B384="","",COUNTIF('任务记录'!$A$5:$A$104,B384)=1)</x:f>
      </x:c>
      <x:c r="K384" s="21" t="str">
        <x:f>IF(B384="","",COUNTIFS($B$5:$B$504,B384,$E$5:$E$504,"true"))</x:f>
      </x:c>
      <x:c r="L384" s="21" t="str">
        <x:f>IF(A384="","",AND(I384=FALSE,J384=TRUE,K384&lt;=1))</x:f>
      </x:c>
    </x:row>
    <x:row r="385">
      <x:c r="A385" s="21"/>
      <x:c r="B385" s="21"/>
      <x:c r="C385" s="21"/>
      <x:c r="D385" s="21"/>
      <x:c r="E385" s="21"/>
      <x:c r="F385" s="21"/>
      <x:c r="G385" s="21"/>
      <x:c r="H385" s="21"/>
      <x:c r="I385" s="21" t="str">
        <x:f>IF(A385="","",COUNTIF($A$5:$A$504,A385)&gt;1)</x:f>
      </x:c>
      <x:c r="J385" s="21" t="str">
        <x:f>IF(B385="","",COUNTIF('任务记录'!$A$5:$A$104,B385)=1)</x:f>
      </x:c>
      <x:c r="K385" s="21" t="str">
        <x:f>IF(B385="","",COUNTIFS($B$5:$B$504,B385,$E$5:$E$504,"true"))</x:f>
      </x:c>
      <x:c r="L385" s="21" t="str">
        <x:f>IF(A385="","",AND(I385=FALSE,J385=TRUE,K385&lt;=1))</x:f>
      </x:c>
    </x:row>
    <x:row r="386">
      <x:c r="A386" s="21"/>
      <x:c r="B386" s="21"/>
      <x:c r="C386" s="21"/>
      <x:c r="D386" s="21"/>
      <x:c r="E386" s="21"/>
      <x:c r="F386" s="21"/>
      <x:c r="G386" s="21"/>
      <x:c r="H386" s="21"/>
      <x:c r="I386" s="21" t="str">
        <x:f>IF(A386="","",COUNTIF($A$5:$A$504,A386)&gt;1)</x:f>
      </x:c>
      <x:c r="J386" s="21" t="str">
        <x:f>IF(B386="","",COUNTIF('任务记录'!$A$5:$A$104,B386)=1)</x:f>
      </x:c>
      <x:c r="K386" s="21" t="str">
        <x:f>IF(B386="","",COUNTIFS($B$5:$B$504,B386,$E$5:$E$504,"true"))</x:f>
      </x:c>
      <x:c r="L386" s="21" t="str">
        <x:f>IF(A386="","",AND(I386=FALSE,J386=TRUE,K386&lt;=1))</x:f>
      </x:c>
    </x:row>
    <x:row r="387">
      <x:c r="A387" s="21"/>
      <x:c r="B387" s="21"/>
      <x:c r="C387" s="21"/>
      <x:c r="D387" s="21"/>
      <x:c r="E387" s="21"/>
      <x:c r="F387" s="21"/>
      <x:c r="G387" s="21"/>
      <x:c r="H387" s="21"/>
      <x:c r="I387" s="21" t="str">
        <x:f>IF(A387="","",COUNTIF($A$5:$A$504,A387)&gt;1)</x:f>
      </x:c>
      <x:c r="J387" s="21" t="str">
        <x:f>IF(B387="","",COUNTIF('任务记录'!$A$5:$A$104,B387)=1)</x:f>
      </x:c>
      <x:c r="K387" s="21" t="str">
        <x:f>IF(B387="","",COUNTIFS($B$5:$B$504,B387,$E$5:$E$504,"true"))</x:f>
      </x:c>
      <x:c r="L387" s="21" t="str">
        <x:f>IF(A387="","",AND(I387=FALSE,J387=TRUE,K387&lt;=1))</x:f>
      </x:c>
    </x:row>
    <x:row r="388">
      <x:c r="A388" s="21"/>
      <x:c r="B388" s="21"/>
      <x:c r="C388" s="21"/>
      <x:c r="D388" s="21"/>
      <x:c r="E388" s="21"/>
      <x:c r="F388" s="21"/>
      <x:c r="G388" s="21"/>
      <x:c r="H388" s="21"/>
      <x:c r="I388" s="21" t="str">
        <x:f>IF(A388="","",COUNTIF($A$5:$A$504,A388)&gt;1)</x:f>
      </x:c>
      <x:c r="J388" s="21" t="str">
        <x:f>IF(B388="","",COUNTIF('任务记录'!$A$5:$A$104,B388)=1)</x:f>
      </x:c>
      <x:c r="K388" s="21" t="str">
        <x:f>IF(B388="","",COUNTIFS($B$5:$B$504,B388,$E$5:$E$504,"true"))</x:f>
      </x:c>
      <x:c r="L388" s="21" t="str">
        <x:f>IF(A388="","",AND(I388=FALSE,J388=TRUE,K388&lt;=1))</x:f>
      </x:c>
    </x:row>
    <x:row r="389">
      <x:c r="A389" s="21"/>
      <x:c r="B389" s="21"/>
      <x:c r="C389" s="21"/>
      <x:c r="D389" s="21"/>
      <x:c r="E389" s="21"/>
      <x:c r="F389" s="21"/>
      <x:c r="G389" s="21"/>
      <x:c r="H389" s="21"/>
      <x:c r="I389" s="21" t="str">
        <x:f>IF(A389="","",COUNTIF($A$5:$A$504,A389)&gt;1)</x:f>
      </x:c>
      <x:c r="J389" s="21" t="str">
        <x:f>IF(B389="","",COUNTIF('任务记录'!$A$5:$A$104,B389)=1)</x:f>
      </x:c>
      <x:c r="K389" s="21" t="str">
        <x:f>IF(B389="","",COUNTIFS($B$5:$B$504,B389,$E$5:$E$504,"true"))</x:f>
      </x:c>
      <x:c r="L389" s="21" t="str">
        <x:f>IF(A389="","",AND(I389=FALSE,J389=TRUE,K389&lt;=1))</x:f>
      </x:c>
    </x:row>
    <x:row r="390">
      <x:c r="A390" s="21"/>
      <x:c r="B390" s="21"/>
      <x:c r="C390" s="21"/>
      <x:c r="D390" s="21"/>
      <x:c r="E390" s="21"/>
      <x:c r="F390" s="21"/>
      <x:c r="G390" s="21"/>
      <x:c r="H390" s="21"/>
      <x:c r="I390" s="21" t="str">
        <x:f>IF(A390="","",COUNTIF($A$5:$A$504,A390)&gt;1)</x:f>
      </x:c>
      <x:c r="J390" s="21" t="str">
        <x:f>IF(B390="","",COUNTIF('任务记录'!$A$5:$A$104,B390)=1)</x:f>
      </x:c>
      <x:c r="K390" s="21" t="str">
        <x:f>IF(B390="","",COUNTIFS($B$5:$B$504,B390,$E$5:$E$504,"true"))</x:f>
      </x:c>
      <x:c r="L390" s="21" t="str">
        <x:f>IF(A390="","",AND(I390=FALSE,J390=TRUE,K390&lt;=1))</x:f>
      </x:c>
    </x:row>
    <x:row r="391">
      <x:c r="A391" s="21"/>
      <x:c r="B391" s="21"/>
      <x:c r="C391" s="21"/>
      <x:c r="D391" s="21"/>
      <x:c r="E391" s="21"/>
      <x:c r="F391" s="21"/>
      <x:c r="G391" s="21"/>
      <x:c r="H391" s="21"/>
      <x:c r="I391" s="21" t="str">
        <x:f>IF(A391="","",COUNTIF($A$5:$A$504,A391)&gt;1)</x:f>
      </x:c>
      <x:c r="J391" s="21" t="str">
        <x:f>IF(B391="","",COUNTIF('任务记录'!$A$5:$A$104,B391)=1)</x:f>
      </x:c>
      <x:c r="K391" s="21" t="str">
        <x:f>IF(B391="","",COUNTIFS($B$5:$B$504,B391,$E$5:$E$504,"true"))</x:f>
      </x:c>
      <x:c r="L391" s="21" t="str">
        <x:f>IF(A391="","",AND(I391=FALSE,J391=TRUE,K391&lt;=1))</x:f>
      </x:c>
    </x:row>
    <x:row r="392">
      <x:c r="A392" s="21"/>
      <x:c r="B392" s="21"/>
      <x:c r="C392" s="21"/>
      <x:c r="D392" s="21"/>
      <x:c r="E392" s="21"/>
      <x:c r="F392" s="21"/>
      <x:c r="G392" s="21"/>
      <x:c r="H392" s="21"/>
      <x:c r="I392" s="21" t="str">
        <x:f>IF(A392="","",COUNTIF($A$5:$A$504,A392)&gt;1)</x:f>
      </x:c>
      <x:c r="J392" s="21" t="str">
        <x:f>IF(B392="","",COUNTIF('任务记录'!$A$5:$A$104,B392)=1)</x:f>
      </x:c>
      <x:c r="K392" s="21" t="str">
        <x:f>IF(B392="","",COUNTIFS($B$5:$B$504,B392,$E$5:$E$504,"true"))</x:f>
      </x:c>
      <x:c r="L392" s="21" t="str">
        <x:f>IF(A392="","",AND(I392=FALSE,J392=TRUE,K392&lt;=1))</x:f>
      </x:c>
    </x:row>
    <x:row r="393">
      <x:c r="A393" s="21"/>
      <x:c r="B393" s="21"/>
      <x:c r="C393" s="21"/>
      <x:c r="D393" s="21"/>
      <x:c r="E393" s="21"/>
      <x:c r="F393" s="21"/>
      <x:c r="G393" s="21"/>
      <x:c r="H393" s="21"/>
      <x:c r="I393" s="21" t="str">
        <x:f>IF(A393="","",COUNTIF($A$5:$A$504,A393)&gt;1)</x:f>
      </x:c>
      <x:c r="J393" s="21" t="str">
        <x:f>IF(B393="","",COUNTIF('任务记录'!$A$5:$A$104,B393)=1)</x:f>
      </x:c>
      <x:c r="K393" s="21" t="str">
        <x:f>IF(B393="","",COUNTIFS($B$5:$B$504,B393,$E$5:$E$504,"true"))</x:f>
      </x:c>
      <x:c r="L393" s="21" t="str">
        <x:f>IF(A393="","",AND(I393=FALSE,J393=TRUE,K393&lt;=1))</x:f>
      </x:c>
    </x:row>
    <x:row r="394">
      <x:c r="A394" s="21"/>
      <x:c r="B394" s="21"/>
      <x:c r="C394" s="21"/>
      <x:c r="D394" s="21"/>
      <x:c r="E394" s="21"/>
      <x:c r="F394" s="21"/>
      <x:c r="G394" s="21"/>
      <x:c r="H394" s="21"/>
      <x:c r="I394" s="21" t="str">
        <x:f>IF(A394="","",COUNTIF($A$5:$A$504,A394)&gt;1)</x:f>
      </x:c>
      <x:c r="J394" s="21" t="str">
        <x:f>IF(B394="","",COUNTIF('任务记录'!$A$5:$A$104,B394)=1)</x:f>
      </x:c>
      <x:c r="K394" s="21" t="str">
        <x:f>IF(B394="","",COUNTIFS($B$5:$B$504,B394,$E$5:$E$504,"true"))</x:f>
      </x:c>
      <x:c r="L394" s="21" t="str">
        <x:f>IF(A394="","",AND(I394=FALSE,J394=TRUE,K394&lt;=1))</x:f>
      </x:c>
    </x:row>
    <x:row r="395">
      <x:c r="A395" s="21"/>
      <x:c r="B395" s="21"/>
      <x:c r="C395" s="21"/>
      <x:c r="D395" s="21"/>
      <x:c r="E395" s="21"/>
      <x:c r="F395" s="21"/>
      <x:c r="G395" s="21"/>
      <x:c r="H395" s="21"/>
      <x:c r="I395" s="21" t="str">
        <x:f>IF(A395="","",COUNTIF($A$5:$A$504,A395)&gt;1)</x:f>
      </x:c>
      <x:c r="J395" s="21" t="str">
        <x:f>IF(B395="","",COUNTIF('任务记录'!$A$5:$A$104,B395)=1)</x:f>
      </x:c>
      <x:c r="K395" s="21" t="str">
        <x:f>IF(B395="","",COUNTIFS($B$5:$B$504,B395,$E$5:$E$504,"true"))</x:f>
      </x:c>
      <x:c r="L395" s="21" t="str">
        <x:f>IF(A395="","",AND(I395=FALSE,J395=TRUE,K395&lt;=1))</x:f>
      </x:c>
    </x:row>
    <x:row r="396">
      <x:c r="A396" s="21"/>
      <x:c r="B396" s="21"/>
      <x:c r="C396" s="21"/>
      <x:c r="D396" s="21"/>
      <x:c r="E396" s="21"/>
      <x:c r="F396" s="21"/>
      <x:c r="G396" s="21"/>
      <x:c r="H396" s="21"/>
      <x:c r="I396" s="21" t="str">
        <x:f>IF(A396="","",COUNTIF($A$5:$A$504,A396)&gt;1)</x:f>
      </x:c>
      <x:c r="J396" s="21" t="str">
        <x:f>IF(B396="","",COUNTIF('任务记录'!$A$5:$A$104,B396)=1)</x:f>
      </x:c>
      <x:c r="K396" s="21" t="str">
        <x:f>IF(B396="","",COUNTIFS($B$5:$B$504,B396,$E$5:$E$504,"true"))</x:f>
      </x:c>
      <x:c r="L396" s="21" t="str">
        <x:f>IF(A396="","",AND(I396=FALSE,J396=TRUE,K396&lt;=1))</x:f>
      </x:c>
    </x:row>
    <x:row r="397">
      <x:c r="A397" s="21"/>
      <x:c r="B397" s="21"/>
      <x:c r="C397" s="21"/>
      <x:c r="D397" s="21"/>
      <x:c r="E397" s="21"/>
      <x:c r="F397" s="21"/>
      <x:c r="G397" s="21"/>
      <x:c r="H397" s="21"/>
      <x:c r="I397" s="21" t="str">
        <x:f>IF(A397="","",COUNTIF($A$5:$A$504,A397)&gt;1)</x:f>
      </x:c>
      <x:c r="J397" s="21" t="str">
        <x:f>IF(B397="","",COUNTIF('任务记录'!$A$5:$A$104,B397)=1)</x:f>
      </x:c>
      <x:c r="K397" s="21" t="str">
        <x:f>IF(B397="","",COUNTIFS($B$5:$B$504,B397,$E$5:$E$504,"true"))</x:f>
      </x:c>
      <x:c r="L397" s="21" t="str">
        <x:f>IF(A397="","",AND(I397=FALSE,J397=TRUE,K397&lt;=1))</x:f>
      </x:c>
    </x:row>
    <x:row r="398">
      <x:c r="A398" s="21"/>
      <x:c r="B398" s="21"/>
      <x:c r="C398" s="21"/>
      <x:c r="D398" s="21"/>
      <x:c r="E398" s="21"/>
      <x:c r="F398" s="21"/>
      <x:c r="G398" s="21"/>
      <x:c r="H398" s="21"/>
      <x:c r="I398" s="21" t="str">
        <x:f>IF(A398="","",COUNTIF($A$5:$A$504,A398)&gt;1)</x:f>
      </x:c>
      <x:c r="J398" s="21" t="str">
        <x:f>IF(B398="","",COUNTIF('任务记录'!$A$5:$A$104,B398)=1)</x:f>
      </x:c>
      <x:c r="K398" s="21" t="str">
        <x:f>IF(B398="","",COUNTIFS($B$5:$B$504,B398,$E$5:$E$504,"true"))</x:f>
      </x:c>
      <x:c r="L398" s="21" t="str">
        <x:f>IF(A398="","",AND(I398=FALSE,J398=TRUE,K398&lt;=1))</x:f>
      </x:c>
    </x:row>
    <x:row r="399">
      <x:c r="A399" s="21"/>
      <x:c r="B399" s="21"/>
      <x:c r="C399" s="21"/>
      <x:c r="D399" s="21"/>
      <x:c r="E399" s="21"/>
      <x:c r="F399" s="21"/>
      <x:c r="G399" s="21"/>
      <x:c r="H399" s="21"/>
      <x:c r="I399" s="21" t="str">
        <x:f>IF(A399="","",COUNTIF($A$5:$A$504,A399)&gt;1)</x:f>
      </x:c>
      <x:c r="J399" s="21" t="str">
        <x:f>IF(B399="","",COUNTIF('任务记录'!$A$5:$A$104,B399)=1)</x:f>
      </x:c>
      <x:c r="K399" s="21" t="str">
        <x:f>IF(B399="","",COUNTIFS($B$5:$B$504,B399,$E$5:$E$504,"true"))</x:f>
      </x:c>
      <x:c r="L399" s="21" t="str">
        <x:f>IF(A399="","",AND(I399=FALSE,J399=TRUE,K399&lt;=1))</x:f>
      </x:c>
    </x:row>
    <x:row r="400">
      <x:c r="A400" s="21"/>
      <x:c r="B400" s="21"/>
      <x:c r="C400" s="21"/>
      <x:c r="D400" s="21"/>
      <x:c r="E400" s="21"/>
      <x:c r="F400" s="21"/>
      <x:c r="G400" s="21"/>
      <x:c r="H400" s="21"/>
      <x:c r="I400" s="21" t="str">
        <x:f>IF(A400="","",COUNTIF($A$5:$A$504,A400)&gt;1)</x:f>
      </x:c>
      <x:c r="J400" s="21" t="str">
        <x:f>IF(B400="","",COUNTIF('任务记录'!$A$5:$A$104,B400)=1)</x:f>
      </x:c>
      <x:c r="K400" s="21" t="str">
        <x:f>IF(B400="","",COUNTIFS($B$5:$B$504,B400,$E$5:$E$504,"true"))</x:f>
      </x:c>
      <x:c r="L400" s="21" t="str">
        <x:f>IF(A400="","",AND(I400=FALSE,J400=TRUE,K400&lt;=1))</x:f>
      </x:c>
    </x:row>
    <x:row r="401">
      <x:c r="A401" s="21"/>
      <x:c r="B401" s="21"/>
      <x:c r="C401" s="21"/>
      <x:c r="D401" s="21"/>
      <x:c r="E401" s="21"/>
      <x:c r="F401" s="21"/>
      <x:c r="G401" s="21"/>
      <x:c r="H401" s="21"/>
      <x:c r="I401" s="21" t="str">
        <x:f>IF(A401="","",COUNTIF($A$5:$A$504,A401)&gt;1)</x:f>
      </x:c>
      <x:c r="J401" s="21" t="str">
        <x:f>IF(B401="","",COUNTIF('任务记录'!$A$5:$A$104,B401)=1)</x:f>
      </x:c>
      <x:c r="K401" s="21" t="str">
        <x:f>IF(B401="","",COUNTIFS($B$5:$B$504,B401,$E$5:$E$504,"true"))</x:f>
      </x:c>
      <x:c r="L401" s="21" t="str">
        <x:f>IF(A401="","",AND(I401=FALSE,J401=TRUE,K401&lt;=1))</x:f>
      </x:c>
    </x:row>
    <x:row r="402">
      <x:c r="A402" s="21"/>
      <x:c r="B402" s="21"/>
      <x:c r="C402" s="21"/>
      <x:c r="D402" s="21"/>
      <x:c r="E402" s="21"/>
      <x:c r="F402" s="21"/>
      <x:c r="G402" s="21"/>
      <x:c r="H402" s="21"/>
      <x:c r="I402" s="21" t="str">
        <x:f>IF(A402="","",COUNTIF($A$5:$A$504,A402)&gt;1)</x:f>
      </x:c>
      <x:c r="J402" s="21" t="str">
        <x:f>IF(B402="","",COUNTIF('任务记录'!$A$5:$A$104,B402)=1)</x:f>
      </x:c>
      <x:c r="K402" s="21" t="str">
        <x:f>IF(B402="","",COUNTIFS($B$5:$B$504,B402,$E$5:$E$504,"true"))</x:f>
      </x:c>
      <x:c r="L402" s="21" t="str">
        <x:f>IF(A402="","",AND(I402=FALSE,J402=TRUE,K402&lt;=1))</x:f>
      </x:c>
    </x:row>
    <x:row r="403">
      <x:c r="A403" s="21"/>
      <x:c r="B403" s="21"/>
      <x:c r="C403" s="21"/>
      <x:c r="D403" s="21"/>
      <x:c r="E403" s="21"/>
      <x:c r="F403" s="21"/>
      <x:c r="G403" s="21"/>
      <x:c r="H403" s="21"/>
      <x:c r="I403" s="21" t="str">
        <x:f>IF(A403="","",COUNTIF($A$5:$A$504,A403)&gt;1)</x:f>
      </x:c>
      <x:c r="J403" s="21" t="str">
        <x:f>IF(B403="","",COUNTIF('任务记录'!$A$5:$A$104,B403)=1)</x:f>
      </x:c>
      <x:c r="K403" s="21" t="str">
        <x:f>IF(B403="","",COUNTIFS($B$5:$B$504,B403,$E$5:$E$504,"true"))</x:f>
      </x:c>
      <x:c r="L403" s="21" t="str">
        <x:f>IF(A403="","",AND(I403=FALSE,J403=TRUE,K403&lt;=1))</x:f>
      </x:c>
    </x:row>
    <x:row r="404">
      <x:c r="A404" s="21"/>
      <x:c r="B404" s="21"/>
      <x:c r="C404" s="21"/>
      <x:c r="D404" s="21"/>
      <x:c r="E404" s="21"/>
      <x:c r="F404" s="21"/>
      <x:c r="G404" s="21"/>
      <x:c r="H404" s="21"/>
      <x:c r="I404" s="21" t="str">
        <x:f>IF(A404="","",COUNTIF($A$5:$A$504,A404)&gt;1)</x:f>
      </x:c>
      <x:c r="J404" s="21" t="str">
        <x:f>IF(B404="","",COUNTIF('任务记录'!$A$5:$A$104,B404)=1)</x:f>
      </x:c>
      <x:c r="K404" s="21" t="str">
        <x:f>IF(B404="","",COUNTIFS($B$5:$B$504,B404,$E$5:$E$504,"true"))</x:f>
      </x:c>
      <x:c r="L404" s="21" t="str">
        <x:f>IF(A404="","",AND(I404=FALSE,J404=TRUE,K404&lt;=1))</x:f>
      </x:c>
    </x:row>
    <x:row r="405">
      <x:c r="A405" s="21"/>
      <x:c r="B405" s="21"/>
      <x:c r="C405" s="21"/>
      <x:c r="D405" s="21"/>
      <x:c r="E405" s="21"/>
      <x:c r="F405" s="21"/>
      <x:c r="G405" s="21"/>
      <x:c r="H405" s="21"/>
      <x:c r="I405" s="21" t="str">
        <x:f>IF(A405="","",COUNTIF($A$5:$A$504,A405)&gt;1)</x:f>
      </x:c>
      <x:c r="J405" s="21" t="str">
        <x:f>IF(B405="","",COUNTIF('任务记录'!$A$5:$A$104,B405)=1)</x:f>
      </x:c>
      <x:c r="K405" s="21" t="str">
        <x:f>IF(B405="","",COUNTIFS($B$5:$B$504,B405,$E$5:$E$504,"true"))</x:f>
      </x:c>
      <x:c r="L405" s="21" t="str">
        <x:f>IF(A405="","",AND(I405=FALSE,J405=TRUE,K405&lt;=1))</x:f>
      </x:c>
    </x:row>
    <x:row r="406">
      <x:c r="A406" s="21"/>
      <x:c r="B406" s="21"/>
      <x:c r="C406" s="21"/>
      <x:c r="D406" s="21"/>
      <x:c r="E406" s="21"/>
      <x:c r="F406" s="21"/>
      <x:c r="G406" s="21"/>
      <x:c r="H406" s="21"/>
      <x:c r="I406" s="21" t="str">
        <x:f>IF(A406="","",COUNTIF($A$5:$A$504,A406)&gt;1)</x:f>
      </x:c>
      <x:c r="J406" s="21" t="str">
        <x:f>IF(B406="","",COUNTIF('任务记录'!$A$5:$A$104,B406)=1)</x:f>
      </x:c>
      <x:c r="K406" s="21" t="str">
        <x:f>IF(B406="","",COUNTIFS($B$5:$B$504,B406,$E$5:$E$504,"true"))</x:f>
      </x:c>
      <x:c r="L406" s="21" t="str">
        <x:f>IF(A406="","",AND(I406=FALSE,J406=TRUE,K406&lt;=1))</x:f>
      </x:c>
    </x:row>
    <x:row r="407">
      <x:c r="A407" s="21"/>
      <x:c r="B407" s="21"/>
      <x:c r="C407" s="21"/>
      <x:c r="D407" s="21"/>
      <x:c r="E407" s="21"/>
      <x:c r="F407" s="21"/>
      <x:c r="G407" s="21"/>
      <x:c r="H407" s="21"/>
      <x:c r="I407" s="21" t="str">
        <x:f>IF(A407="","",COUNTIF($A$5:$A$504,A407)&gt;1)</x:f>
      </x:c>
      <x:c r="J407" s="21" t="str">
        <x:f>IF(B407="","",COUNTIF('任务记录'!$A$5:$A$104,B407)=1)</x:f>
      </x:c>
      <x:c r="K407" s="21" t="str">
        <x:f>IF(B407="","",COUNTIFS($B$5:$B$504,B407,$E$5:$E$504,"true"))</x:f>
      </x:c>
      <x:c r="L407" s="21" t="str">
        <x:f>IF(A407="","",AND(I407=FALSE,J407=TRUE,K407&lt;=1))</x:f>
      </x:c>
    </x:row>
    <x:row r="408">
      <x:c r="A408" s="21"/>
      <x:c r="B408" s="21"/>
      <x:c r="C408" s="21"/>
      <x:c r="D408" s="21"/>
      <x:c r="E408" s="21"/>
      <x:c r="F408" s="21"/>
      <x:c r="G408" s="21"/>
      <x:c r="H408" s="21"/>
      <x:c r="I408" s="21" t="str">
        <x:f>IF(A408="","",COUNTIF($A$5:$A$504,A408)&gt;1)</x:f>
      </x:c>
      <x:c r="J408" s="21" t="str">
        <x:f>IF(B408="","",COUNTIF('任务记录'!$A$5:$A$104,B408)=1)</x:f>
      </x:c>
      <x:c r="K408" s="21" t="str">
        <x:f>IF(B408="","",COUNTIFS($B$5:$B$504,B408,$E$5:$E$504,"true"))</x:f>
      </x:c>
      <x:c r="L408" s="21" t="str">
        <x:f>IF(A408="","",AND(I408=FALSE,J408=TRUE,K408&lt;=1))</x:f>
      </x:c>
    </x:row>
    <x:row r="409">
      <x:c r="A409" s="21"/>
      <x:c r="B409" s="21"/>
      <x:c r="C409" s="21"/>
      <x:c r="D409" s="21"/>
      <x:c r="E409" s="21"/>
      <x:c r="F409" s="21"/>
      <x:c r="G409" s="21"/>
      <x:c r="H409" s="21"/>
      <x:c r="I409" s="21" t="str">
        <x:f>IF(A409="","",COUNTIF($A$5:$A$504,A409)&gt;1)</x:f>
      </x:c>
      <x:c r="J409" s="21" t="str">
        <x:f>IF(B409="","",COUNTIF('任务记录'!$A$5:$A$104,B409)=1)</x:f>
      </x:c>
      <x:c r="K409" s="21" t="str">
        <x:f>IF(B409="","",COUNTIFS($B$5:$B$504,B409,$E$5:$E$504,"true"))</x:f>
      </x:c>
      <x:c r="L409" s="21" t="str">
        <x:f>IF(A409="","",AND(I409=FALSE,J409=TRUE,K409&lt;=1))</x:f>
      </x:c>
    </x:row>
    <x:row r="410">
      <x:c r="A410" s="21"/>
      <x:c r="B410" s="21"/>
      <x:c r="C410" s="21"/>
      <x:c r="D410" s="21"/>
      <x:c r="E410" s="21"/>
      <x:c r="F410" s="21"/>
      <x:c r="G410" s="21"/>
      <x:c r="H410" s="21"/>
      <x:c r="I410" s="21" t="str">
        <x:f>IF(A410="","",COUNTIF($A$5:$A$504,A410)&gt;1)</x:f>
      </x:c>
      <x:c r="J410" s="21" t="str">
        <x:f>IF(B410="","",COUNTIF('任务记录'!$A$5:$A$104,B410)=1)</x:f>
      </x:c>
      <x:c r="K410" s="21" t="str">
        <x:f>IF(B410="","",COUNTIFS($B$5:$B$504,B410,$E$5:$E$504,"true"))</x:f>
      </x:c>
      <x:c r="L410" s="21" t="str">
        <x:f>IF(A410="","",AND(I410=FALSE,J410=TRUE,K410&lt;=1))</x:f>
      </x:c>
    </x:row>
    <x:row r="411">
      <x:c r="A411" s="21"/>
      <x:c r="B411" s="21"/>
      <x:c r="C411" s="21"/>
      <x:c r="D411" s="21"/>
      <x:c r="E411" s="21"/>
      <x:c r="F411" s="21"/>
      <x:c r="G411" s="21"/>
      <x:c r="H411" s="21"/>
      <x:c r="I411" s="21" t="str">
        <x:f>IF(A411="","",COUNTIF($A$5:$A$504,A411)&gt;1)</x:f>
      </x:c>
      <x:c r="J411" s="21" t="str">
        <x:f>IF(B411="","",COUNTIF('任务记录'!$A$5:$A$104,B411)=1)</x:f>
      </x:c>
      <x:c r="K411" s="21" t="str">
        <x:f>IF(B411="","",COUNTIFS($B$5:$B$504,B411,$E$5:$E$504,"true"))</x:f>
      </x:c>
      <x:c r="L411" s="21" t="str">
        <x:f>IF(A411="","",AND(I411=FALSE,J411=TRUE,K411&lt;=1))</x:f>
      </x:c>
    </x:row>
    <x:row r="412">
      <x:c r="A412" s="21"/>
      <x:c r="B412" s="21"/>
      <x:c r="C412" s="21"/>
      <x:c r="D412" s="21"/>
      <x:c r="E412" s="21"/>
      <x:c r="F412" s="21"/>
      <x:c r="G412" s="21"/>
      <x:c r="H412" s="21"/>
      <x:c r="I412" s="21" t="str">
        <x:f>IF(A412="","",COUNTIF($A$5:$A$504,A412)&gt;1)</x:f>
      </x:c>
      <x:c r="J412" s="21" t="str">
        <x:f>IF(B412="","",COUNTIF('任务记录'!$A$5:$A$104,B412)=1)</x:f>
      </x:c>
      <x:c r="K412" s="21" t="str">
        <x:f>IF(B412="","",COUNTIFS($B$5:$B$504,B412,$E$5:$E$504,"true"))</x:f>
      </x:c>
      <x:c r="L412" s="21" t="str">
        <x:f>IF(A412="","",AND(I412=FALSE,J412=TRUE,K412&lt;=1))</x:f>
      </x:c>
    </x:row>
    <x:row r="413">
      <x:c r="A413" s="21"/>
      <x:c r="B413" s="21"/>
      <x:c r="C413" s="21"/>
      <x:c r="D413" s="21"/>
      <x:c r="E413" s="21"/>
      <x:c r="F413" s="21"/>
      <x:c r="G413" s="21"/>
      <x:c r="H413" s="21"/>
      <x:c r="I413" s="21" t="str">
        <x:f>IF(A413="","",COUNTIF($A$5:$A$504,A413)&gt;1)</x:f>
      </x:c>
      <x:c r="J413" s="21" t="str">
        <x:f>IF(B413="","",COUNTIF('任务记录'!$A$5:$A$104,B413)=1)</x:f>
      </x:c>
      <x:c r="K413" s="21" t="str">
        <x:f>IF(B413="","",COUNTIFS($B$5:$B$504,B413,$E$5:$E$504,"true"))</x:f>
      </x:c>
      <x:c r="L413" s="21" t="str">
        <x:f>IF(A413="","",AND(I413=FALSE,J413=TRUE,K413&lt;=1))</x:f>
      </x:c>
    </x:row>
    <x:row r="414">
      <x:c r="A414" s="21"/>
      <x:c r="B414" s="21"/>
      <x:c r="C414" s="21"/>
      <x:c r="D414" s="21"/>
      <x:c r="E414" s="21"/>
      <x:c r="F414" s="21"/>
      <x:c r="G414" s="21"/>
      <x:c r="H414" s="21"/>
      <x:c r="I414" s="21" t="str">
        <x:f>IF(A414="","",COUNTIF($A$5:$A$504,A414)&gt;1)</x:f>
      </x:c>
      <x:c r="J414" s="21" t="str">
        <x:f>IF(B414="","",COUNTIF('任务记录'!$A$5:$A$104,B414)=1)</x:f>
      </x:c>
      <x:c r="K414" s="21" t="str">
        <x:f>IF(B414="","",COUNTIFS($B$5:$B$504,B414,$E$5:$E$504,"true"))</x:f>
      </x:c>
      <x:c r="L414" s="21" t="str">
        <x:f>IF(A414="","",AND(I414=FALSE,J414=TRUE,K414&lt;=1))</x:f>
      </x:c>
    </x:row>
    <x:row r="415">
      <x:c r="A415" s="21"/>
      <x:c r="B415" s="21"/>
      <x:c r="C415" s="21"/>
      <x:c r="D415" s="21"/>
      <x:c r="E415" s="21"/>
      <x:c r="F415" s="21"/>
      <x:c r="G415" s="21"/>
      <x:c r="H415" s="21"/>
      <x:c r="I415" s="21" t="str">
        <x:f>IF(A415="","",COUNTIF($A$5:$A$504,A415)&gt;1)</x:f>
      </x:c>
      <x:c r="J415" s="21" t="str">
        <x:f>IF(B415="","",COUNTIF('任务记录'!$A$5:$A$104,B415)=1)</x:f>
      </x:c>
      <x:c r="K415" s="21" t="str">
        <x:f>IF(B415="","",COUNTIFS($B$5:$B$504,B415,$E$5:$E$504,"true"))</x:f>
      </x:c>
      <x:c r="L415" s="21" t="str">
        <x:f>IF(A415="","",AND(I415=FALSE,J415=TRUE,K415&lt;=1))</x:f>
      </x:c>
    </x:row>
    <x:row r="416">
      <x:c r="A416" s="21"/>
      <x:c r="B416" s="21"/>
      <x:c r="C416" s="21"/>
      <x:c r="D416" s="21"/>
      <x:c r="E416" s="21"/>
      <x:c r="F416" s="21"/>
      <x:c r="G416" s="21"/>
      <x:c r="H416" s="21"/>
      <x:c r="I416" s="21" t="str">
        <x:f>IF(A416="","",COUNTIF($A$5:$A$504,A416)&gt;1)</x:f>
      </x:c>
      <x:c r="J416" s="21" t="str">
        <x:f>IF(B416="","",COUNTIF('任务记录'!$A$5:$A$104,B416)=1)</x:f>
      </x:c>
      <x:c r="K416" s="21" t="str">
        <x:f>IF(B416="","",COUNTIFS($B$5:$B$504,B416,$E$5:$E$504,"true"))</x:f>
      </x:c>
      <x:c r="L416" s="21" t="str">
        <x:f>IF(A416="","",AND(I416=FALSE,J416=TRUE,K416&lt;=1))</x:f>
      </x:c>
    </x:row>
    <x:row r="417">
      <x:c r="A417" s="21"/>
      <x:c r="B417" s="21"/>
      <x:c r="C417" s="21"/>
      <x:c r="D417" s="21"/>
      <x:c r="E417" s="21"/>
      <x:c r="F417" s="21"/>
      <x:c r="G417" s="21"/>
      <x:c r="H417" s="21"/>
      <x:c r="I417" s="21" t="str">
        <x:f>IF(A417="","",COUNTIF($A$5:$A$504,A417)&gt;1)</x:f>
      </x:c>
      <x:c r="J417" s="21" t="str">
        <x:f>IF(B417="","",COUNTIF('任务记录'!$A$5:$A$104,B417)=1)</x:f>
      </x:c>
      <x:c r="K417" s="21" t="str">
        <x:f>IF(B417="","",COUNTIFS($B$5:$B$504,B417,$E$5:$E$504,"true"))</x:f>
      </x:c>
      <x:c r="L417" s="21" t="str">
        <x:f>IF(A417="","",AND(I417=FALSE,J417=TRUE,K417&lt;=1))</x:f>
      </x:c>
    </x:row>
    <x:row r="418">
      <x:c r="A418" s="21"/>
      <x:c r="B418" s="21"/>
      <x:c r="C418" s="21"/>
      <x:c r="D418" s="21"/>
      <x:c r="E418" s="21"/>
      <x:c r="F418" s="21"/>
      <x:c r="G418" s="21"/>
      <x:c r="H418" s="21"/>
      <x:c r="I418" s="21" t="str">
        <x:f>IF(A418="","",COUNTIF($A$5:$A$504,A418)&gt;1)</x:f>
      </x:c>
      <x:c r="J418" s="21" t="str">
        <x:f>IF(B418="","",COUNTIF('任务记录'!$A$5:$A$104,B418)=1)</x:f>
      </x:c>
      <x:c r="K418" s="21" t="str">
        <x:f>IF(B418="","",COUNTIFS($B$5:$B$504,B418,$E$5:$E$504,"true"))</x:f>
      </x:c>
      <x:c r="L418" s="21" t="str">
        <x:f>IF(A418="","",AND(I418=FALSE,J418=TRUE,K418&lt;=1))</x:f>
      </x:c>
    </x:row>
    <x:row r="419">
      <x:c r="A419" s="21"/>
      <x:c r="B419" s="21"/>
      <x:c r="C419" s="21"/>
      <x:c r="D419" s="21"/>
      <x:c r="E419" s="21"/>
      <x:c r="F419" s="21"/>
      <x:c r="G419" s="21"/>
      <x:c r="H419" s="21"/>
      <x:c r="I419" s="21" t="str">
        <x:f>IF(A419="","",COUNTIF($A$5:$A$504,A419)&gt;1)</x:f>
      </x:c>
      <x:c r="J419" s="21" t="str">
        <x:f>IF(B419="","",COUNTIF('任务记录'!$A$5:$A$104,B419)=1)</x:f>
      </x:c>
      <x:c r="K419" s="21" t="str">
        <x:f>IF(B419="","",COUNTIFS($B$5:$B$504,B419,$E$5:$E$504,"true"))</x:f>
      </x:c>
      <x:c r="L419" s="21" t="str">
        <x:f>IF(A419="","",AND(I419=FALSE,J419=TRUE,K419&lt;=1))</x:f>
      </x:c>
    </x:row>
    <x:row r="420">
      <x:c r="A420" s="21"/>
      <x:c r="B420" s="21"/>
      <x:c r="C420" s="21"/>
      <x:c r="D420" s="21"/>
      <x:c r="E420" s="21"/>
      <x:c r="F420" s="21"/>
      <x:c r="G420" s="21"/>
      <x:c r="H420" s="21"/>
      <x:c r="I420" s="21" t="str">
        <x:f>IF(A420="","",COUNTIF($A$5:$A$504,A420)&gt;1)</x:f>
      </x:c>
      <x:c r="J420" s="21" t="str">
        <x:f>IF(B420="","",COUNTIF('任务记录'!$A$5:$A$104,B420)=1)</x:f>
      </x:c>
      <x:c r="K420" s="21" t="str">
        <x:f>IF(B420="","",COUNTIFS($B$5:$B$504,B420,$E$5:$E$504,"true"))</x:f>
      </x:c>
      <x:c r="L420" s="21" t="str">
        <x:f>IF(A420="","",AND(I420=FALSE,J420=TRUE,K420&lt;=1))</x:f>
      </x:c>
    </x:row>
    <x:row r="421">
      <x:c r="A421" s="21"/>
      <x:c r="B421" s="21"/>
      <x:c r="C421" s="21"/>
      <x:c r="D421" s="21"/>
      <x:c r="E421" s="21"/>
      <x:c r="F421" s="21"/>
      <x:c r="G421" s="21"/>
      <x:c r="H421" s="21"/>
      <x:c r="I421" s="21" t="str">
        <x:f>IF(A421="","",COUNTIF($A$5:$A$504,A421)&gt;1)</x:f>
      </x:c>
      <x:c r="J421" s="21" t="str">
        <x:f>IF(B421="","",COUNTIF('任务记录'!$A$5:$A$104,B421)=1)</x:f>
      </x:c>
      <x:c r="K421" s="21" t="str">
        <x:f>IF(B421="","",COUNTIFS($B$5:$B$504,B421,$E$5:$E$504,"true"))</x:f>
      </x:c>
      <x:c r="L421" s="21" t="str">
        <x:f>IF(A421="","",AND(I421=FALSE,J421=TRUE,K421&lt;=1))</x:f>
      </x:c>
    </x:row>
    <x:row r="422">
      <x:c r="A422" s="21"/>
      <x:c r="B422" s="21"/>
      <x:c r="C422" s="21"/>
      <x:c r="D422" s="21"/>
      <x:c r="E422" s="21"/>
      <x:c r="F422" s="21"/>
      <x:c r="G422" s="21"/>
      <x:c r="H422" s="21"/>
      <x:c r="I422" s="21" t="str">
        <x:f>IF(A422="","",COUNTIF($A$5:$A$504,A422)&gt;1)</x:f>
      </x:c>
      <x:c r="J422" s="21" t="str">
        <x:f>IF(B422="","",COUNTIF('任务记录'!$A$5:$A$104,B422)=1)</x:f>
      </x:c>
      <x:c r="K422" s="21" t="str">
        <x:f>IF(B422="","",COUNTIFS($B$5:$B$504,B422,$E$5:$E$504,"true"))</x:f>
      </x:c>
      <x:c r="L422" s="21" t="str">
        <x:f>IF(A422="","",AND(I422=FALSE,J422=TRUE,K422&lt;=1))</x:f>
      </x:c>
    </x:row>
    <x:row r="423">
      <x:c r="A423" s="21"/>
      <x:c r="B423" s="21"/>
      <x:c r="C423" s="21"/>
      <x:c r="D423" s="21"/>
      <x:c r="E423" s="21"/>
      <x:c r="F423" s="21"/>
      <x:c r="G423" s="21"/>
      <x:c r="H423" s="21"/>
      <x:c r="I423" s="21" t="str">
        <x:f>IF(A423="","",COUNTIF($A$5:$A$504,A423)&gt;1)</x:f>
      </x:c>
      <x:c r="J423" s="21" t="str">
        <x:f>IF(B423="","",COUNTIF('任务记录'!$A$5:$A$104,B423)=1)</x:f>
      </x:c>
      <x:c r="K423" s="21" t="str">
        <x:f>IF(B423="","",COUNTIFS($B$5:$B$504,B423,$E$5:$E$504,"true"))</x:f>
      </x:c>
      <x:c r="L423" s="21" t="str">
        <x:f>IF(A423="","",AND(I423=FALSE,J423=TRUE,K423&lt;=1))</x:f>
      </x:c>
    </x:row>
    <x:row r="424">
      <x:c r="A424" s="21"/>
      <x:c r="B424" s="21"/>
      <x:c r="C424" s="21"/>
      <x:c r="D424" s="21"/>
      <x:c r="E424" s="21"/>
      <x:c r="F424" s="21"/>
      <x:c r="G424" s="21"/>
      <x:c r="H424" s="21"/>
      <x:c r="I424" s="21" t="str">
        <x:f>IF(A424="","",COUNTIF($A$5:$A$504,A424)&gt;1)</x:f>
      </x:c>
      <x:c r="J424" s="21" t="str">
        <x:f>IF(B424="","",COUNTIF('任务记录'!$A$5:$A$104,B424)=1)</x:f>
      </x:c>
      <x:c r="K424" s="21" t="str">
        <x:f>IF(B424="","",COUNTIFS($B$5:$B$504,B424,$E$5:$E$504,"true"))</x:f>
      </x:c>
      <x:c r="L424" s="21" t="str">
        <x:f>IF(A424="","",AND(I424=FALSE,J424=TRUE,K424&lt;=1))</x:f>
      </x:c>
    </x:row>
    <x:row r="425">
      <x:c r="A425" s="21"/>
      <x:c r="B425" s="21"/>
      <x:c r="C425" s="21"/>
      <x:c r="D425" s="21"/>
      <x:c r="E425" s="21"/>
      <x:c r="F425" s="21"/>
      <x:c r="G425" s="21"/>
      <x:c r="H425" s="21"/>
      <x:c r="I425" s="21" t="str">
        <x:f>IF(A425="","",COUNTIF($A$5:$A$504,A425)&gt;1)</x:f>
      </x:c>
      <x:c r="J425" s="21" t="str">
        <x:f>IF(B425="","",COUNTIF('任务记录'!$A$5:$A$104,B425)=1)</x:f>
      </x:c>
      <x:c r="K425" s="21" t="str">
        <x:f>IF(B425="","",COUNTIFS($B$5:$B$504,B425,$E$5:$E$504,"true"))</x:f>
      </x:c>
      <x:c r="L425" s="21" t="str">
        <x:f>IF(A425="","",AND(I425=FALSE,J425=TRUE,K425&lt;=1))</x:f>
      </x:c>
    </x:row>
    <x:row r="426">
      <x:c r="A426" s="21"/>
      <x:c r="B426" s="21"/>
      <x:c r="C426" s="21"/>
      <x:c r="D426" s="21"/>
      <x:c r="E426" s="21"/>
      <x:c r="F426" s="21"/>
      <x:c r="G426" s="21"/>
      <x:c r="H426" s="21"/>
      <x:c r="I426" s="21" t="str">
        <x:f>IF(A426="","",COUNTIF($A$5:$A$504,A426)&gt;1)</x:f>
      </x:c>
      <x:c r="J426" s="21" t="str">
        <x:f>IF(B426="","",COUNTIF('任务记录'!$A$5:$A$104,B426)=1)</x:f>
      </x:c>
      <x:c r="K426" s="21" t="str">
        <x:f>IF(B426="","",COUNTIFS($B$5:$B$504,B426,$E$5:$E$504,"true"))</x:f>
      </x:c>
      <x:c r="L426" s="21" t="str">
        <x:f>IF(A426="","",AND(I426=FALSE,J426=TRUE,K426&lt;=1))</x:f>
      </x:c>
    </x:row>
    <x:row r="427">
      <x:c r="A427" s="21"/>
      <x:c r="B427" s="21"/>
      <x:c r="C427" s="21"/>
      <x:c r="D427" s="21"/>
      <x:c r="E427" s="21"/>
      <x:c r="F427" s="21"/>
      <x:c r="G427" s="21"/>
      <x:c r="H427" s="21"/>
      <x:c r="I427" s="21" t="str">
        <x:f>IF(A427="","",COUNTIF($A$5:$A$504,A427)&gt;1)</x:f>
      </x:c>
      <x:c r="J427" s="21" t="str">
        <x:f>IF(B427="","",COUNTIF('任务记录'!$A$5:$A$104,B427)=1)</x:f>
      </x:c>
      <x:c r="K427" s="21" t="str">
        <x:f>IF(B427="","",COUNTIFS($B$5:$B$504,B427,$E$5:$E$504,"true"))</x:f>
      </x:c>
      <x:c r="L427" s="21" t="str">
        <x:f>IF(A427="","",AND(I427=FALSE,J427=TRUE,K427&lt;=1))</x:f>
      </x:c>
    </x:row>
    <x:row r="428">
      <x:c r="A428" s="21"/>
      <x:c r="B428" s="21"/>
      <x:c r="C428" s="21"/>
      <x:c r="D428" s="21"/>
      <x:c r="E428" s="21"/>
      <x:c r="F428" s="21"/>
      <x:c r="G428" s="21"/>
      <x:c r="H428" s="21"/>
      <x:c r="I428" s="21" t="str">
        <x:f>IF(A428="","",COUNTIF($A$5:$A$504,A428)&gt;1)</x:f>
      </x:c>
      <x:c r="J428" s="21" t="str">
        <x:f>IF(B428="","",COUNTIF('任务记录'!$A$5:$A$104,B428)=1)</x:f>
      </x:c>
      <x:c r="K428" s="21" t="str">
        <x:f>IF(B428="","",COUNTIFS($B$5:$B$504,B428,$E$5:$E$504,"true"))</x:f>
      </x:c>
      <x:c r="L428" s="21" t="str">
        <x:f>IF(A428="","",AND(I428=FALSE,J428=TRUE,K428&lt;=1))</x:f>
      </x:c>
    </x:row>
    <x:row r="429">
      <x:c r="A429" s="21"/>
      <x:c r="B429" s="21"/>
      <x:c r="C429" s="21"/>
      <x:c r="D429" s="21"/>
      <x:c r="E429" s="21"/>
      <x:c r="F429" s="21"/>
      <x:c r="G429" s="21"/>
      <x:c r="H429" s="21"/>
      <x:c r="I429" s="21" t="str">
        <x:f>IF(A429="","",COUNTIF($A$5:$A$504,A429)&gt;1)</x:f>
      </x:c>
      <x:c r="J429" s="21" t="str">
        <x:f>IF(B429="","",COUNTIF('任务记录'!$A$5:$A$104,B429)=1)</x:f>
      </x:c>
      <x:c r="K429" s="21" t="str">
        <x:f>IF(B429="","",COUNTIFS($B$5:$B$504,B429,$E$5:$E$504,"true"))</x:f>
      </x:c>
      <x:c r="L429" s="21" t="str">
        <x:f>IF(A429="","",AND(I429=FALSE,J429=TRUE,K429&lt;=1))</x:f>
      </x:c>
    </x:row>
    <x:row r="430">
      <x:c r="A430" s="21"/>
      <x:c r="B430" s="21"/>
      <x:c r="C430" s="21"/>
      <x:c r="D430" s="21"/>
      <x:c r="E430" s="21"/>
      <x:c r="F430" s="21"/>
      <x:c r="G430" s="21"/>
      <x:c r="H430" s="21"/>
      <x:c r="I430" s="21" t="str">
        <x:f>IF(A430="","",COUNTIF($A$5:$A$504,A430)&gt;1)</x:f>
      </x:c>
      <x:c r="J430" s="21" t="str">
        <x:f>IF(B430="","",COUNTIF('任务记录'!$A$5:$A$104,B430)=1)</x:f>
      </x:c>
      <x:c r="K430" s="21" t="str">
        <x:f>IF(B430="","",COUNTIFS($B$5:$B$504,B430,$E$5:$E$504,"true"))</x:f>
      </x:c>
      <x:c r="L430" s="21" t="str">
        <x:f>IF(A430="","",AND(I430=FALSE,J430=TRUE,K430&lt;=1))</x:f>
      </x:c>
    </x:row>
    <x:row r="431">
      <x:c r="A431" s="21"/>
      <x:c r="B431" s="21"/>
      <x:c r="C431" s="21"/>
      <x:c r="D431" s="21"/>
      <x:c r="E431" s="21"/>
      <x:c r="F431" s="21"/>
      <x:c r="G431" s="21"/>
      <x:c r="H431" s="21"/>
      <x:c r="I431" s="21" t="str">
        <x:f>IF(A431="","",COUNTIF($A$5:$A$504,A431)&gt;1)</x:f>
      </x:c>
      <x:c r="J431" s="21" t="str">
        <x:f>IF(B431="","",COUNTIF('任务记录'!$A$5:$A$104,B431)=1)</x:f>
      </x:c>
      <x:c r="K431" s="21" t="str">
        <x:f>IF(B431="","",COUNTIFS($B$5:$B$504,B431,$E$5:$E$504,"true"))</x:f>
      </x:c>
      <x:c r="L431" s="21" t="str">
        <x:f>IF(A431="","",AND(I431=FALSE,J431=TRUE,K431&lt;=1))</x:f>
      </x:c>
    </x:row>
    <x:row r="432">
      <x:c r="A432" s="21"/>
      <x:c r="B432" s="21"/>
      <x:c r="C432" s="21"/>
      <x:c r="D432" s="21"/>
      <x:c r="E432" s="21"/>
      <x:c r="F432" s="21"/>
      <x:c r="G432" s="21"/>
      <x:c r="H432" s="21"/>
      <x:c r="I432" s="21" t="str">
        <x:f>IF(A432="","",COUNTIF($A$5:$A$504,A432)&gt;1)</x:f>
      </x:c>
      <x:c r="J432" s="21" t="str">
        <x:f>IF(B432="","",COUNTIF('任务记录'!$A$5:$A$104,B432)=1)</x:f>
      </x:c>
      <x:c r="K432" s="21" t="str">
        <x:f>IF(B432="","",COUNTIFS($B$5:$B$504,B432,$E$5:$E$504,"true"))</x:f>
      </x:c>
      <x:c r="L432" s="21" t="str">
        <x:f>IF(A432="","",AND(I432=FALSE,J432=TRUE,K432&lt;=1))</x:f>
      </x:c>
    </x:row>
    <x:row r="433">
      <x:c r="A433" s="21"/>
      <x:c r="B433" s="21"/>
      <x:c r="C433" s="21"/>
      <x:c r="D433" s="21"/>
      <x:c r="E433" s="21"/>
      <x:c r="F433" s="21"/>
      <x:c r="G433" s="21"/>
      <x:c r="H433" s="21"/>
      <x:c r="I433" s="21" t="str">
        <x:f>IF(A433="","",COUNTIF($A$5:$A$504,A433)&gt;1)</x:f>
      </x:c>
      <x:c r="J433" s="21" t="str">
        <x:f>IF(B433="","",COUNTIF('任务记录'!$A$5:$A$104,B433)=1)</x:f>
      </x:c>
      <x:c r="K433" s="21" t="str">
        <x:f>IF(B433="","",COUNTIFS($B$5:$B$504,B433,$E$5:$E$504,"true"))</x:f>
      </x:c>
      <x:c r="L433" s="21" t="str">
        <x:f>IF(A433="","",AND(I433=FALSE,J433=TRUE,K433&lt;=1))</x:f>
      </x:c>
    </x:row>
    <x:row r="434">
      <x:c r="A434" s="21"/>
      <x:c r="B434" s="21"/>
      <x:c r="C434" s="21"/>
      <x:c r="D434" s="21"/>
      <x:c r="E434" s="21"/>
      <x:c r="F434" s="21"/>
      <x:c r="G434" s="21"/>
      <x:c r="H434" s="21"/>
      <x:c r="I434" s="21" t="str">
        <x:f>IF(A434="","",COUNTIF($A$5:$A$504,A434)&gt;1)</x:f>
      </x:c>
      <x:c r="J434" s="21" t="str">
        <x:f>IF(B434="","",COUNTIF('任务记录'!$A$5:$A$104,B434)=1)</x:f>
      </x:c>
      <x:c r="K434" s="21" t="str">
        <x:f>IF(B434="","",COUNTIFS($B$5:$B$504,B434,$E$5:$E$504,"true"))</x:f>
      </x:c>
      <x:c r="L434" s="21" t="str">
        <x:f>IF(A434="","",AND(I434=FALSE,J434=TRUE,K434&lt;=1))</x:f>
      </x:c>
    </x:row>
    <x:row r="435">
      <x:c r="A435" s="21"/>
      <x:c r="B435" s="21"/>
      <x:c r="C435" s="21"/>
      <x:c r="D435" s="21"/>
      <x:c r="E435" s="21"/>
      <x:c r="F435" s="21"/>
      <x:c r="G435" s="21"/>
      <x:c r="H435" s="21"/>
      <x:c r="I435" s="21" t="str">
        <x:f>IF(A435="","",COUNTIF($A$5:$A$504,A435)&gt;1)</x:f>
      </x:c>
      <x:c r="J435" s="21" t="str">
        <x:f>IF(B435="","",COUNTIF('任务记录'!$A$5:$A$104,B435)=1)</x:f>
      </x:c>
      <x:c r="K435" s="21" t="str">
        <x:f>IF(B435="","",COUNTIFS($B$5:$B$504,B435,$E$5:$E$504,"true"))</x:f>
      </x:c>
      <x:c r="L435" s="21" t="str">
        <x:f>IF(A435="","",AND(I435=FALSE,J435=TRUE,K435&lt;=1))</x:f>
      </x:c>
    </x:row>
    <x:row r="436">
      <x:c r="A436" s="21"/>
      <x:c r="B436" s="21"/>
      <x:c r="C436" s="21"/>
      <x:c r="D436" s="21"/>
      <x:c r="E436" s="21"/>
      <x:c r="F436" s="21"/>
      <x:c r="G436" s="21"/>
      <x:c r="H436" s="21"/>
      <x:c r="I436" s="21" t="str">
        <x:f>IF(A436="","",COUNTIF($A$5:$A$504,A436)&gt;1)</x:f>
      </x:c>
      <x:c r="J436" s="21" t="str">
        <x:f>IF(B436="","",COUNTIF('任务记录'!$A$5:$A$104,B436)=1)</x:f>
      </x:c>
      <x:c r="K436" s="21" t="str">
        <x:f>IF(B436="","",COUNTIFS($B$5:$B$504,B436,$E$5:$E$504,"true"))</x:f>
      </x:c>
      <x:c r="L436" s="21" t="str">
        <x:f>IF(A436="","",AND(I436=FALSE,J436=TRUE,K436&lt;=1))</x:f>
      </x:c>
    </x:row>
    <x:row r="437">
      <x:c r="A437" s="21"/>
      <x:c r="B437" s="21"/>
      <x:c r="C437" s="21"/>
      <x:c r="D437" s="21"/>
      <x:c r="E437" s="21"/>
      <x:c r="F437" s="21"/>
      <x:c r="G437" s="21"/>
      <x:c r="H437" s="21"/>
      <x:c r="I437" s="21" t="str">
        <x:f>IF(A437="","",COUNTIF($A$5:$A$504,A437)&gt;1)</x:f>
      </x:c>
      <x:c r="J437" s="21" t="str">
        <x:f>IF(B437="","",COUNTIF('任务记录'!$A$5:$A$104,B437)=1)</x:f>
      </x:c>
      <x:c r="K437" s="21" t="str">
        <x:f>IF(B437="","",COUNTIFS($B$5:$B$504,B437,$E$5:$E$504,"true"))</x:f>
      </x:c>
      <x:c r="L437" s="21" t="str">
        <x:f>IF(A437="","",AND(I437=FALSE,J437=TRUE,K437&lt;=1))</x:f>
      </x:c>
    </x:row>
    <x:row r="438">
      <x:c r="A438" s="21"/>
      <x:c r="B438" s="21"/>
      <x:c r="C438" s="21"/>
      <x:c r="D438" s="21"/>
      <x:c r="E438" s="21"/>
      <x:c r="F438" s="21"/>
      <x:c r="G438" s="21"/>
      <x:c r="H438" s="21"/>
      <x:c r="I438" s="21" t="str">
        <x:f>IF(A438="","",COUNTIF($A$5:$A$504,A438)&gt;1)</x:f>
      </x:c>
      <x:c r="J438" s="21" t="str">
        <x:f>IF(B438="","",COUNTIF('任务记录'!$A$5:$A$104,B438)=1)</x:f>
      </x:c>
      <x:c r="K438" s="21" t="str">
        <x:f>IF(B438="","",COUNTIFS($B$5:$B$504,B438,$E$5:$E$504,"true"))</x:f>
      </x:c>
      <x:c r="L438" s="21" t="str">
        <x:f>IF(A438="","",AND(I438=FALSE,J438=TRUE,K438&lt;=1))</x:f>
      </x:c>
    </x:row>
    <x:row r="439">
      <x:c r="A439" s="21"/>
      <x:c r="B439" s="21"/>
      <x:c r="C439" s="21"/>
      <x:c r="D439" s="21"/>
      <x:c r="E439" s="21"/>
      <x:c r="F439" s="21"/>
      <x:c r="G439" s="21"/>
      <x:c r="H439" s="21"/>
      <x:c r="I439" s="21" t="str">
        <x:f>IF(A439="","",COUNTIF($A$5:$A$504,A439)&gt;1)</x:f>
      </x:c>
      <x:c r="J439" s="21" t="str">
        <x:f>IF(B439="","",COUNTIF('任务记录'!$A$5:$A$104,B439)=1)</x:f>
      </x:c>
      <x:c r="K439" s="21" t="str">
        <x:f>IF(B439="","",COUNTIFS($B$5:$B$504,B439,$E$5:$E$504,"true"))</x:f>
      </x:c>
      <x:c r="L439" s="21" t="str">
        <x:f>IF(A439="","",AND(I439=FALSE,J439=TRUE,K439&lt;=1))</x:f>
      </x:c>
    </x:row>
    <x:row r="440">
      <x:c r="A440" s="21"/>
      <x:c r="B440" s="21"/>
      <x:c r="C440" s="21"/>
      <x:c r="D440" s="21"/>
      <x:c r="E440" s="21"/>
      <x:c r="F440" s="21"/>
      <x:c r="G440" s="21"/>
      <x:c r="H440" s="21"/>
      <x:c r="I440" s="21" t="str">
        <x:f>IF(A440="","",COUNTIF($A$5:$A$504,A440)&gt;1)</x:f>
      </x:c>
      <x:c r="J440" s="21" t="str">
        <x:f>IF(B440="","",COUNTIF('任务记录'!$A$5:$A$104,B440)=1)</x:f>
      </x:c>
      <x:c r="K440" s="21" t="str">
        <x:f>IF(B440="","",COUNTIFS($B$5:$B$504,B440,$E$5:$E$504,"true"))</x:f>
      </x:c>
      <x:c r="L440" s="21" t="str">
        <x:f>IF(A440="","",AND(I440=FALSE,J440=TRUE,K440&lt;=1))</x:f>
      </x:c>
    </x:row>
    <x:row r="441">
      <x:c r="A441" s="21"/>
      <x:c r="B441" s="21"/>
      <x:c r="C441" s="21"/>
      <x:c r="D441" s="21"/>
      <x:c r="E441" s="21"/>
      <x:c r="F441" s="21"/>
      <x:c r="G441" s="21"/>
      <x:c r="H441" s="21"/>
      <x:c r="I441" s="21" t="str">
        <x:f>IF(A441="","",COUNTIF($A$5:$A$504,A441)&gt;1)</x:f>
      </x:c>
      <x:c r="J441" s="21" t="str">
        <x:f>IF(B441="","",COUNTIF('任务记录'!$A$5:$A$104,B441)=1)</x:f>
      </x:c>
      <x:c r="K441" s="21" t="str">
        <x:f>IF(B441="","",COUNTIFS($B$5:$B$504,B441,$E$5:$E$504,"true"))</x:f>
      </x:c>
      <x:c r="L441" s="21" t="str">
        <x:f>IF(A441="","",AND(I441=FALSE,J441=TRUE,K441&lt;=1))</x:f>
      </x:c>
    </x:row>
    <x:row r="442">
      <x:c r="A442" s="21"/>
      <x:c r="B442" s="21"/>
      <x:c r="C442" s="21"/>
      <x:c r="D442" s="21"/>
      <x:c r="E442" s="21"/>
      <x:c r="F442" s="21"/>
      <x:c r="G442" s="21"/>
      <x:c r="H442" s="21"/>
      <x:c r="I442" s="21" t="str">
        <x:f>IF(A442="","",COUNTIF($A$5:$A$504,A442)&gt;1)</x:f>
      </x:c>
      <x:c r="J442" s="21" t="str">
        <x:f>IF(B442="","",COUNTIF('任务记录'!$A$5:$A$104,B442)=1)</x:f>
      </x:c>
      <x:c r="K442" s="21" t="str">
        <x:f>IF(B442="","",COUNTIFS($B$5:$B$504,B442,$E$5:$E$504,"true"))</x:f>
      </x:c>
      <x:c r="L442" s="21" t="str">
        <x:f>IF(A442="","",AND(I442=FALSE,J442=TRUE,K442&lt;=1))</x:f>
      </x:c>
    </x:row>
    <x:row r="443">
      <x:c r="A443" s="21"/>
      <x:c r="B443" s="21"/>
      <x:c r="C443" s="21"/>
      <x:c r="D443" s="21"/>
      <x:c r="E443" s="21"/>
      <x:c r="F443" s="21"/>
      <x:c r="G443" s="21"/>
      <x:c r="H443" s="21"/>
      <x:c r="I443" s="21" t="str">
        <x:f>IF(A443="","",COUNTIF($A$5:$A$504,A443)&gt;1)</x:f>
      </x:c>
      <x:c r="J443" s="21" t="str">
        <x:f>IF(B443="","",COUNTIF('任务记录'!$A$5:$A$104,B443)=1)</x:f>
      </x:c>
      <x:c r="K443" s="21" t="str">
        <x:f>IF(B443="","",COUNTIFS($B$5:$B$504,B443,$E$5:$E$504,"true"))</x:f>
      </x:c>
      <x:c r="L443" s="21" t="str">
        <x:f>IF(A443="","",AND(I443=FALSE,J443=TRUE,K443&lt;=1))</x:f>
      </x:c>
    </x:row>
    <x:row r="444">
      <x:c r="A444" s="21"/>
      <x:c r="B444" s="21"/>
      <x:c r="C444" s="21"/>
      <x:c r="D444" s="21"/>
      <x:c r="E444" s="21"/>
      <x:c r="F444" s="21"/>
      <x:c r="G444" s="21"/>
      <x:c r="H444" s="21"/>
      <x:c r="I444" s="21" t="str">
        <x:f>IF(A444="","",COUNTIF($A$5:$A$504,A444)&gt;1)</x:f>
      </x:c>
      <x:c r="J444" s="21" t="str">
        <x:f>IF(B444="","",COUNTIF('任务记录'!$A$5:$A$104,B444)=1)</x:f>
      </x:c>
      <x:c r="K444" s="21" t="str">
        <x:f>IF(B444="","",COUNTIFS($B$5:$B$504,B444,$E$5:$E$504,"true"))</x:f>
      </x:c>
      <x:c r="L444" s="21" t="str">
        <x:f>IF(A444="","",AND(I444=FALSE,J444=TRUE,K444&lt;=1))</x:f>
      </x:c>
    </x:row>
    <x:row r="445">
      <x:c r="A445" s="21"/>
      <x:c r="B445" s="21"/>
      <x:c r="C445" s="21"/>
      <x:c r="D445" s="21"/>
      <x:c r="E445" s="21"/>
      <x:c r="F445" s="21"/>
      <x:c r="G445" s="21"/>
      <x:c r="H445" s="21"/>
      <x:c r="I445" s="21" t="str">
        <x:f>IF(A445="","",COUNTIF($A$5:$A$504,A445)&gt;1)</x:f>
      </x:c>
      <x:c r="J445" s="21" t="str">
        <x:f>IF(B445="","",COUNTIF('任务记录'!$A$5:$A$104,B445)=1)</x:f>
      </x:c>
      <x:c r="K445" s="21" t="str">
        <x:f>IF(B445="","",COUNTIFS($B$5:$B$504,B445,$E$5:$E$504,"true"))</x:f>
      </x:c>
      <x:c r="L445" s="21" t="str">
        <x:f>IF(A445="","",AND(I445=FALSE,J445=TRUE,K445&lt;=1))</x:f>
      </x:c>
    </x:row>
    <x:row r="446">
      <x:c r="A446" s="21"/>
      <x:c r="B446" s="21"/>
      <x:c r="C446" s="21"/>
      <x:c r="D446" s="21"/>
      <x:c r="E446" s="21"/>
      <x:c r="F446" s="21"/>
      <x:c r="G446" s="21"/>
      <x:c r="H446" s="21"/>
      <x:c r="I446" s="21" t="str">
        <x:f>IF(A446="","",COUNTIF($A$5:$A$504,A446)&gt;1)</x:f>
      </x:c>
      <x:c r="J446" s="21" t="str">
        <x:f>IF(B446="","",COUNTIF('任务记录'!$A$5:$A$104,B446)=1)</x:f>
      </x:c>
      <x:c r="K446" s="21" t="str">
        <x:f>IF(B446="","",COUNTIFS($B$5:$B$504,B446,$E$5:$E$504,"true"))</x:f>
      </x:c>
      <x:c r="L446" s="21" t="str">
        <x:f>IF(A446="","",AND(I446=FALSE,J446=TRUE,K446&lt;=1))</x:f>
      </x:c>
    </x:row>
    <x:row r="447">
      <x:c r="A447" s="21"/>
      <x:c r="B447" s="21"/>
      <x:c r="C447" s="21"/>
      <x:c r="D447" s="21"/>
      <x:c r="E447" s="21"/>
      <x:c r="F447" s="21"/>
      <x:c r="G447" s="21"/>
      <x:c r="H447" s="21"/>
      <x:c r="I447" s="21" t="str">
        <x:f>IF(A447="","",COUNTIF($A$5:$A$504,A447)&gt;1)</x:f>
      </x:c>
      <x:c r="J447" s="21" t="str">
        <x:f>IF(B447="","",COUNTIF('任务记录'!$A$5:$A$104,B447)=1)</x:f>
      </x:c>
      <x:c r="K447" s="21" t="str">
        <x:f>IF(B447="","",COUNTIFS($B$5:$B$504,B447,$E$5:$E$504,"true"))</x:f>
      </x:c>
      <x:c r="L447" s="21" t="str">
        <x:f>IF(A447="","",AND(I447=FALSE,J447=TRUE,K447&lt;=1))</x:f>
      </x:c>
    </x:row>
    <x:row r="448">
      <x:c r="A448" s="21"/>
      <x:c r="B448" s="21"/>
      <x:c r="C448" s="21"/>
      <x:c r="D448" s="21"/>
      <x:c r="E448" s="21"/>
      <x:c r="F448" s="21"/>
      <x:c r="G448" s="21"/>
      <x:c r="H448" s="21"/>
      <x:c r="I448" s="21" t="str">
        <x:f>IF(A448="","",COUNTIF($A$5:$A$504,A448)&gt;1)</x:f>
      </x:c>
      <x:c r="J448" s="21" t="str">
        <x:f>IF(B448="","",COUNTIF('任务记录'!$A$5:$A$104,B448)=1)</x:f>
      </x:c>
      <x:c r="K448" s="21" t="str">
        <x:f>IF(B448="","",COUNTIFS($B$5:$B$504,B448,$E$5:$E$504,"true"))</x:f>
      </x:c>
      <x:c r="L448" s="21" t="str">
        <x:f>IF(A448="","",AND(I448=FALSE,J448=TRUE,K448&lt;=1))</x:f>
      </x:c>
    </x:row>
    <x:row r="449">
      <x:c r="A449" s="21"/>
      <x:c r="B449" s="21"/>
      <x:c r="C449" s="21"/>
      <x:c r="D449" s="21"/>
      <x:c r="E449" s="21"/>
      <x:c r="F449" s="21"/>
      <x:c r="G449" s="21"/>
      <x:c r="H449" s="21"/>
      <x:c r="I449" s="21" t="str">
        <x:f>IF(A449="","",COUNTIF($A$5:$A$504,A449)&gt;1)</x:f>
      </x:c>
      <x:c r="J449" s="21" t="str">
        <x:f>IF(B449="","",COUNTIF('任务记录'!$A$5:$A$104,B449)=1)</x:f>
      </x:c>
      <x:c r="K449" s="21" t="str">
        <x:f>IF(B449="","",COUNTIFS($B$5:$B$504,B449,$E$5:$E$504,"true"))</x:f>
      </x:c>
      <x:c r="L449" s="21" t="str">
        <x:f>IF(A449="","",AND(I449=FALSE,J449=TRUE,K449&lt;=1))</x:f>
      </x:c>
    </x:row>
    <x:row r="450">
      <x:c r="A450" s="21"/>
      <x:c r="B450" s="21"/>
      <x:c r="C450" s="21"/>
      <x:c r="D450" s="21"/>
      <x:c r="E450" s="21"/>
      <x:c r="F450" s="21"/>
      <x:c r="G450" s="21"/>
      <x:c r="H450" s="21"/>
      <x:c r="I450" s="21" t="str">
        <x:f>IF(A450="","",COUNTIF($A$5:$A$504,A450)&gt;1)</x:f>
      </x:c>
      <x:c r="J450" s="21" t="str">
        <x:f>IF(B450="","",COUNTIF('任务记录'!$A$5:$A$104,B450)=1)</x:f>
      </x:c>
      <x:c r="K450" s="21" t="str">
        <x:f>IF(B450="","",COUNTIFS($B$5:$B$504,B450,$E$5:$E$504,"true"))</x:f>
      </x:c>
      <x:c r="L450" s="21" t="str">
        <x:f>IF(A450="","",AND(I450=FALSE,J450=TRUE,K450&lt;=1))</x:f>
      </x:c>
    </x:row>
    <x:row r="451">
      <x:c r="A451" s="21"/>
      <x:c r="B451" s="21"/>
      <x:c r="C451" s="21"/>
      <x:c r="D451" s="21"/>
      <x:c r="E451" s="21"/>
      <x:c r="F451" s="21"/>
      <x:c r="G451" s="21"/>
      <x:c r="H451" s="21"/>
      <x:c r="I451" s="21" t="str">
        <x:f>IF(A451="","",COUNTIF($A$5:$A$504,A451)&gt;1)</x:f>
      </x:c>
      <x:c r="J451" s="21" t="str">
        <x:f>IF(B451="","",COUNTIF('任务记录'!$A$5:$A$104,B451)=1)</x:f>
      </x:c>
      <x:c r="K451" s="21" t="str">
        <x:f>IF(B451="","",COUNTIFS($B$5:$B$504,B451,$E$5:$E$504,"true"))</x:f>
      </x:c>
      <x:c r="L451" s="21" t="str">
        <x:f>IF(A451="","",AND(I451=FALSE,J451=TRUE,K451&lt;=1))</x:f>
      </x:c>
    </x:row>
    <x:row r="452">
      <x:c r="A452" s="21"/>
      <x:c r="B452" s="21"/>
      <x:c r="C452" s="21"/>
      <x:c r="D452" s="21"/>
      <x:c r="E452" s="21"/>
      <x:c r="F452" s="21"/>
      <x:c r="G452" s="21"/>
      <x:c r="H452" s="21"/>
      <x:c r="I452" s="21" t="str">
        <x:f>IF(A452="","",COUNTIF($A$5:$A$504,A452)&gt;1)</x:f>
      </x:c>
      <x:c r="J452" s="21" t="str">
        <x:f>IF(B452="","",COUNTIF('任务记录'!$A$5:$A$104,B452)=1)</x:f>
      </x:c>
      <x:c r="K452" s="21" t="str">
        <x:f>IF(B452="","",COUNTIFS($B$5:$B$504,B452,$E$5:$E$504,"true"))</x:f>
      </x:c>
      <x:c r="L452" s="21" t="str">
        <x:f>IF(A452="","",AND(I452=FALSE,J452=TRUE,K452&lt;=1))</x:f>
      </x:c>
    </x:row>
    <x:row r="453">
      <x:c r="A453" s="21"/>
      <x:c r="B453" s="21"/>
      <x:c r="C453" s="21"/>
      <x:c r="D453" s="21"/>
      <x:c r="E453" s="21"/>
      <x:c r="F453" s="21"/>
      <x:c r="G453" s="21"/>
      <x:c r="H453" s="21"/>
      <x:c r="I453" s="21" t="str">
        <x:f>IF(A453="","",COUNTIF($A$5:$A$504,A453)&gt;1)</x:f>
      </x:c>
      <x:c r="J453" s="21" t="str">
        <x:f>IF(B453="","",COUNTIF('任务记录'!$A$5:$A$104,B453)=1)</x:f>
      </x:c>
      <x:c r="K453" s="21" t="str">
        <x:f>IF(B453="","",COUNTIFS($B$5:$B$504,B453,$E$5:$E$504,"true"))</x:f>
      </x:c>
      <x:c r="L453" s="21" t="str">
        <x:f>IF(A453="","",AND(I453=FALSE,J453=TRUE,K453&lt;=1))</x:f>
      </x:c>
    </x:row>
    <x:row r="454">
      <x:c r="A454" s="21"/>
      <x:c r="B454" s="21"/>
      <x:c r="C454" s="21"/>
      <x:c r="D454" s="21"/>
      <x:c r="E454" s="21"/>
      <x:c r="F454" s="21"/>
      <x:c r="G454" s="21"/>
      <x:c r="H454" s="21"/>
      <x:c r="I454" s="21" t="str">
        <x:f>IF(A454="","",COUNTIF($A$5:$A$504,A454)&gt;1)</x:f>
      </x:c>
      <x:c r="J454" s="21" t="str">
        <x:f>IF(B454="","",COUNTIF('任务记录'!$A$5:$A$104,B454)=1)</x:f>
      </x:c>
      <x:c r="K454" s="21" t="str">
        <x:f>IF(B454="","",COUNTIFS($B$5:$B$504,B454,$E$5:$E$504,"true"))</x:f>
      </x:c>
      <x:c r="L454" s="21" t="str">
        <x:f>IF(A454="","",AND(I454=FALSE,J454=TRUE,K454&lt;=1))</x:f>
      </x:c>
    </x:row>
    <x:row r="455">
      <x:c r="A455" s="21"/>
      <x:c r="B455" s="21"/>
      <x:c r="C455" s="21"/>
      <x:c r="D455" s="21"/>
      <x:c r="E455" s="21"/>
      <x:c r="F455" s="21"/>
      <x:c r="G455" s="21"/>
      <x:c r="H455" s="21"/>
      <x:c r="I455" s="21" t="str">
        <x:f>IF(A455="","",COUNTIF($A$5:$A$504,A455)&gt;1)</x:f>
      </x:c>
      <x:c r="J455" s="21" t="str">
        <x:f>IF(B455="","",COUNTIF('任务记录'!$A$5:$A$104,B455)=1)</x:f>
      </x:c>
      <x:c r="K455" s="21" t="str">
        <x:f>IF(B455="","",COUNTIFS($B$5:$B$504,B455,$E$5:$E$504,"true"))</x:f>
      </x:c>
      <x:c r="L455" s="21" t="str">
        <x:f>IF(A455="","",AND(I455=FALSE,J455=TRUE,K455&lt;=1))</x:f>
      </x:c>
    </x:row>
    <x:row r="456">
      <x:c r="A456" s="21"/>
      <x:c r="B456" s="21"/>
      <x:c r="C456" s="21"/>
      <x:c r="D456" s="21"/>
      <x:c r="E456" s="21"/>
      <x:c r="F456" s="21"/>
      <x:c r="G456" s="21"/>
      <x:c r="H456" s="21"/>
      <x:c r="I456" s="21" t="str">
        <x:f>IF(A456="","",COUNTIF($A$5:$A$504,A456)&gt;1)</x:f>
      </x:c>
      <x:c r="J456" s="21" t="str">
        <x:f>IF(B456="","",COUNTIF('任务记录'!$A$5:$A$104,B456)=1)</x:f>
      </x:c>
      <x:c r="K456" s="21" t="str">
        <x:f>IF(B456="","",COUNTIFS($B$5:$B$504,B456,$E$5:$E$504,"true"))</x:f>
      </x:c>
      <x:c r="L456" s="21" t="str">
        <x:f>IF(A456="","",AND(I456=FALSE,J456=TRUE,K456&lt;=1))</x:f>
      </x:c>
    </x:row>
    <x:row r="457">
      <x:c r="A457" s="21"/>
      <x:c r="B457" s="21"/>
      <x:c r="C457" s="21"/>
      <x:c r="D457" s="21"/>
      <x:c r="E457" s="21"/>
      <x:c r="F457" s="21"/>
      <x:c r="G457" s="21"/>
      <x:c r="H457" s="21"/>
      <x:c r="I457" s="21" t="str">
        <x:f>IF(A457="","",COUNTIF($A$5:$A$504,A457)&gt;1)</x:f>
      </x:c>
      <x:c r="J457" s="21" t="str">
        <x:f>IF(B457="","",COUNTIF('任务记录'!$A$5:$A$104,B457)=1)</x:f>
      </x:c>
      <x:c r="K457" s="21" t="str">
        <x:f>IF(B457="","",COUNTIFS($B$5:$B$504,B457,$E$5:$E$504,"true"))</x:f>
      </x:c>
      <x:c r="L457" s="21" t="str">
        <x:f>IF(A457="","",AND(I457=FALSE,J457=TRUE,K457&lt;=1))</x:f>
      </x:c>
    </x:row>
    <x:row r="458">
      <x:c r="A458" s="21"/>
      <x:c r="B458" s="21"/>
      <x:c r="C458" s="21"/>
      <x:c r="D458" s="21"/>
      <x:c r="E458" s="21"/>
      <x:c r="F458" s="21"/>
      <x:c r="G458" s="21"/>
      <x:c r="H458" s="21"/>
      <x:c r="I458" s="21" t="str">
        <x:f>IF(A458="","",COUNTIF($A$5:$A$504,A458)&gt;1)</x:f>
      </x:c>
      <x:c r="J458" s="21" t="str">
        <x:f>IF(B458="","",COUNTIF('任务记录'!$A$5:$A$104,B458)=1)</x:f>
      </x:c>
      <x:c r="K458" s="21" t="str">
        <x:f>IF(B458="","",COUNTIFS($B$5:$B$504,B458,$E$5:$E$504,"true"))</x:f>
      </x:c>
      <x:c r="L458" s="21" t="str">
        <x:f>IF(A458="","",AND(I458=FALSE,J458=TRUE,K458&lt;=1))</x:f>
      </x:c>
    </x:row>
    <x:row r="459">
      <x:c r="A459" s="21"/>
      <x:c r="B459" s="21"/>
      <x:c r="C459" s="21"/>
      <x:c r="D459" s="21"/>
      <x:c r="E459" s="21"/>
      <x:c r="F459" s="21"/>
      <x:c r="G459" s="21"/>
      <x:c r="H459" s="21"/>
      <x:c r="I459" s="21" t="str">
        <x:f>IF(A459="","",COUNTIF($A$5:$A$504,A459)&gt;1)</x:f>
      </x:c>
      <x:c r="J459" s="21" t="str">
        <x:f>IF(B459="","",COUNTIF('任务记录'!$A$5:$A$104,B459)=1)</x:f>
      </x:c>
      <x:c r="K459" s="21" t="str">
        <x:f>IF(B459="","",COUNTIFS($B$5:$B$504,B459,$E$5:$E$504,"true"))</x:f>
      </x:c>
      <x:c r="L459" s="21" t="str">
        <x:f>IF(A459="","",AND(I459=FALSE,J459=TRUE,K459&lt;=1))</x:f>
      </x:c>
    </x:row>
    <x:row r="460">
      <x:c r="A460" s="21"/>
      <x:c r="B460" s="21"/>
      <x:c r="C460" s="21"/>
      <x:c r="D460" s="21"/>
      <x:c r="E460" s="21"/>
      <x:c r="F460" s="21"/>
      <x:c r="G460" s="21"/>
      <x:c r="H460" s="21"/>
      <x:c r="I460" s="21" t="str">
        <x:f>IF(A460="","",COUNTIF($A$5:$A$504,A460)&gt;1)</x:f>
      </x:c>
      <x:c r="J460" s="21" t="str">
        <x:f>IF(B460="","",COUNTIF('任务记录'!$A$5:$A$104,B460)=1)</x:f>
      </x:c>
      <x:c r="K460" s="21" t="str">
        <x:f>IF(B460="","",COUNTIFS($B$5:$B$504,B460,$E$5:$E$504,"true"))</x:f>
      </x:c>
      <x:c r="L460" s="21" t="str">
        <x:f>IF(A460="","",AND(I460=FALSE,J460=TRUE,K460&lt;=1))</x:f>
      </x:c>
    </x:row>
    <x:row r="461">
      <x:c r="A461" s="21"/>
      <x:c r="B461" s="21"/>
      <x:c r="C461" s="21"/>
      <x:c r="D461" s="21"/>
      <x:c r="E461" s="21"/>
      <x:c r="F461" s="21"/>
      <x:c r="G461" s="21"/>
      <x:c r="H461" s="21"/>
      <x:c r="I461" s="21" t="str">
        <x:f>IF(A461="","",COUNTIF($A$5:$A$504,A461)&gt;1)</x:f>
      </x:c>
      <x:c r="J461" s="21" t="str">
        <x:f>IF(B461="","",COUNTIF('任务记录'!$A$5:$A$104,B461)=1)</x:f>
      </x:c>
      <x:c r="K461" s="21" t="str">
        <x:f>IF(B461="","",COUNTIFS($B$5:$B$504,B461,$E$5:$E$504,"true"))</x:f>
      </x:c>
      <x:c r="L461" s="21" t="str">
        <x:f>IF(A461="","",AND(I461=FALSE,J461=TRUE,K461&lt;=1))</x:f>
      </x:c>
    </x:row>
    <x:row r="462">
      <x:c r="A462" s="21"/>
      <x:c r="B462" s="21"/>
      <x:c r="C462" s="21"/>
      <x:c r="D462" s="21"/>
      <x:c r="E462" s="21"/>
      <x:c r="F462" s="21"/>
      <x:c r="G462" s="21"/>
      <x:c r="H462" s="21"/>
      <x:c r="I462" s="21" t="str">
        <x:f>IF(A462="","",COUNTIF($A$5:$A$504,A462)&gt;1)</x:f>
      </x:c>
      <x:c r="J462" s="21" t="str">
        <x:f>IF(B462="","",COUNTIF('任务记录'!$A$5:$A$104,B462)=1)</x:f>
      </x:c>
      <x:c r="K462" s="21" t="str">
        <x:f>IF(B462="","",COUNTIFS($B$5:$B$504,B462,$E$5:$E$504,"true"))</x:f>
      </x:c>
      <x:c r="L462" s="21" t="str">
        <x:f>IF(A462="","",AND(I462=FALSE,J462=TRUE,K462&lt;=1))</x:f>
      </x:c>
    </x:row>
    <x:row r="463">
      <x:c r="A463" s="21"/>
      <x:c r="B463" s="21"/>
      <x:c r="C463" s="21"/>
      <x:c r="D463" s="21"/>
      <x:c r="E463" s="21"/>
      <x:c r="F463" s="21"/>
      <x:c r="G463" s="21"/>
      <x:c r="H463" s="21"/>
      <x:c r="I463" s="21" t="str">
        <x:f>IF(A463="","",COUNTIF($A$5:$A$504,A463)&gt;1)</x:f>
      </x:c>
      <x:c r="J463" s="21" t="str">
        <x:f>IF(B463="","",COUNTIF('任务记录'!$A$5:$A$104,B463)=1)</x:f>
      </x:c>
      <x:c r="K463" s="21" t="str">
        <x:f>IF(B463="","",COUNTIFS($B$5:$B$504,B463,$E$5:$E$504,"true"))</x:f>
      </x:c>
      <x:c r="L463" s="21" t="str">
        <x:f>IF(A463="","",AND(I463=FALSE,J463=TRUE,K463&lt;=1))</x:f>
      </x:c>
    </x:row>
    <x:row r="464">
      <x:c r="A464" s="21"/>
      <x:c r="B464" s="21"/>
      <x:c r="C464" s="21"/>
      <x:c r="D464" s="21"/>
      <x:c r="E464" s="21"/>
      <x:c r="F464" s="21"/>
      <x:c r="G464" s="21"/>
      <x:c r="H464" s="21"/>
      <x:c r="I464" s="21" t="str">
        <x:f>IF(A464="","",COUNTIF($A$5:$A$504,A464)&gt;1)</x:f>
      </x:c>
      <x:c r="J464" s="21" t="str">
        <x:f>IF(B464="","",COUNTIF('任务记录'!$A$5:$A$104,B464)=1)</x:f>
      </x:c>
      <x:c r="K464" s="21" t="str">
        <x:f>IF(B464="","",COUNTIFS($B$5:$B$504,B464,$E$5:$E$504,"true"))</x:f>
      </x:c>
      <x:c r="L464" s="21" t="str">
        <x:f>IF(A464="","",AND(I464=FALSE,J464=TRUE,K464&lt;=1))</x:f>
      </x:c>
    </x:row>
    <x:row r="465">
      <x:c r="A465" s="21"/>
      <x:c r="B465" s="21"/>
      <x:c r="C465" s="21"/>
      <x:c r="D465" s="21"/>
      <x:c r="E465" s="21"/>
      <x:c r="F465" s="21"/>
      <x:c r="G465" s="21"/>
      <x:c r="H465" s="21"/>
      <x:c r="I465" s="21" t="str">
        <x:f>IF(A465="","",COUNTIF($A$5:$A$504,A465)&gt;1)</x:f>
      </x:c>
      <x:c r="J465" s="21" t="str">
        <x:f>IF(B465="","",COUNTIF('任务记录'!$A$5:$A$104,B465)=1)</x:f>
      </x:c>
      <x:c r="K465" s="21" t="str">
        <x:f>IF(B465="","",COUNTIFS($B$5:$B$504,B465,$E$5:$E$504,"true"))</x:f>
      </x:c>
      <x:c r="L465" s="21" t="str">
        <x:f>IF(A465="","",AND(I465=FALSE,J465=TRUE,K465&lt;=1))</x:f>
      </x:c>
    </x:row>
    <x:row r="466">
      <x:c r="A466" s="21"/>
      <x:c r="B466" s="21"/>
      <x:c r="C466" s="21"/>
      <x:c r="D466" s="21"/>
      <x:c r="E466" s="21"/>
      <x:c r="F466" s="21"/>
      <x:c r="G466" s="21"/>
      <x:c r="H466" s="21"/>
      <x:c r="I466" s="21" t="str">
        <x:f>IF(A466="","",COUNTIF($A$5:$A$504,A466)&gt;1)</x:f>
      </x:c>
      <x:c r="J466" s="21" t="str">
        <x:f>IF(B466="","",COUNTIF('任务记录'!$A$5:$A$104,B466)=1)</x:f>
      </x:c>
      <x:c r="K466" s="21" t="str">
        <x:f>IF(B466="","",COUNTIFS($B$5:$B$504,B466,$E$5:$E$504,"true"))</x:f>
      </x:c>
      <x:c r="L466" s="21" t="str">
        <x:f>IF(A466="","",AND(I466=FALSE,J466=TRUE,K466&lt;=1))</x:f>
      </x:c>
    </x:row>
    <x:row r="467">
      <x:c r="A467" s="21"/>
      <x:c r="B467" s="21"/>
      <x:c r="C467" s="21"/>
      <x:c r="D467" s="21"/>
      <x:c r="E467" s="21"/>
      <x:c r="F467" s="21"/>
      <x:c r="G467" s="21"/>
      <x:c r="H467" s="21"/>
      <x:c r="I467" s="21" t="str">
        <x:f>IF(A467="","",COUNTIF($A$5:$A$504,A467)&gt;1)</x:f>
      </x:c>
      <x:c r="J467" s="21" t="str">
        <x:f>IF(B467="","",COUNTIF('任务记录'!$A$5:$A$104,B467)=1)</x:f>
      </x:c>
      <x:c r="K467" s="21" t="str">
        <x:f>IF(B467="","",COUNTIFS($B$5:$B$504,B467,$E$5:$E$504,"true"))</x:f>
      </x:c>
      <x:c r="L467" s="21" t="str">
        <x:f>IF(A467="","",AND(I467=FALSE,J467=TRUE,K467&lt;=1))</x:f>
      </x:c>
    </x:row>
    <x:row r="468">
      <x:c r="A468" s="21"/>
      <x:c r="B468" s="21"/>
      <x:c r="C468" s="21"/>
      <x:c r="D468" s="21"/>
      <x:c r="E468" s="21"/>
      <x:c r="F468" s="21"/>
      <x:c r="G468" s="21"/>
      <x:c r="H468" s="21"/>
      <x:c r="I468" s="21" t="str">
        <x:f>IF(A468="","",COUNTIF($A$5:$A$504,A468)&gt;1)</x:f>
      </x:c>
      <x:c r="J468" s="21" t="str">
        <x:f>IF(B468="","",COUNTIF('任务记录'!$A$5:$A$104,B468)=1)</x:f>
      </x:c>
      <x:c r="K468" s="21" t="str">
        <x:f>IF(B468="","",COUNTIFS($B$5:$B$504,B468,$E$5:$E$504,"true"))</x:f>
      </x:c>
      <x:c r="L468" s="21" t="str">
        <x:f>IF(A468="","",AND(I468=FALSE,J468=TRUE,K468&lt;=1))</x:f>
      </x:c>
    </x:row>
    <x:row r="469">
      <x:c r="A469" s="21"/>
      <x:c r="B469" s="21"/>
      <x:c r="C469" s="21"/>
      <x:c r="D469" s="21"/>
      <x:c r="E469" s="21"/>
      <x:c r="F469" s="21"/>
      <x:c r="G469" s="21"/>
      <x:c r="H469" s="21"/>
      <x:c r="I469" s="21" t="str">
        <x:f>IF(A469="","",COUNTIF($A$5:$A$504,A469)&gt;1)</x:f>
      </x:c>
      <x:c r="J469" s="21" t="str">
        <x:f>IF(B469="","",COUNTIF('任务记录'!$A$5:$A$104,B469)=1)</x:f>
      </x:c>
      <x:c r="K469" s="21" t="str">
        <x:f>IF(B469="","",COUNTIFS($B$5:$B$504,B469,$E$5:$E$504,"true"))</x:f>
      </x:c>
      <x:c r="L469" s="21" t="str">
        <x:f>IF(A469="","",AND(I469=FALSE,J469=TRUE,K469&lt;=1))</x:f>
      </x:c>
    </x:row>
    <x:row r="470">
      <x:c r="A470" s="21"/>
      <x:c r="B470" s="21"/>
      <x:c r="C470" s="21"/>
      <x:c r="D470" s="21"/>
      <x:c r="E470" s="21"/>
      <x:c r="F470" s="21"/>
      <x:c r="G470" s="21"/>
      <x:c r="H470" s="21"/>
      <x:c r="I470" s="21" t="str">
        <x:f>IF(A470="","",COUNTIF($A$5:$A$504,A470)&gt;1)</x:f>
      </x:c>
      <x:c r="J470" s="21" t="str">
        <x:f>IF(B470="","",COUNTIF('任务记录'!$A$5:$A$104,B470)=1)</x:f>
      </x:c>
      <x:c r="K470" s="21" t="str">
        <x:f>IF(B470="","",COUNTIFS($B$5:$B$504,B470,$E$5:$E$504,"true"))</x:f>
      </x:c>
      <x:c r="L470" s="21" t="str">
        <x:f>IF(A470="","",AND(I470=FALSE,J470=TRUE,K470&lt;=1))</x:f>
      </x:c>
    </x:row>
    <x:row r="471">
      <x:c r="A471" s="21"/>
      <x:c r="B471" s="21"/>
      <x:c r="C471" s="21"/>
      <x:c r="D471" s="21"/>
      <x:c r="E471" s="21"/>
      <x:c r="F471" s="21"/>
      <x:c r="G471" s="21"/>
      <x:c r="H471" s="21"/>
      <x:c r="I471" s="21" t="str">
        <x:f>IF(A471="","",COUNTIF($A$5:$A$504,A471)&gt;1)</x:f>
      </x:c>
      <x:c r="J471" s="21" t="str">
        <x:f>IF(B471="","",COUNTIF('任务记录'!$A$5:$A$104,B471)=1)</x:f>
      </x:c>
      <x:c r="K471" s="21" t="str">
        <x:f>IF(B471="","",COUNTIFS($B$5:$B$504,B471,$E$5:$E$504,"true"))</x:f>
      </x:c>
      <x:c r="L471" s="21" t="str">
        <x:f>IF(A471="","",AND(I471=FALSE,J471=TRUE,K471&lt;=1))</x:f>
      </x:c>
    </x:row>
    <x:row r="472">
      <x:c r="A472" s="21"/>
      <x:c r="B472" s="21"/>
      <x:c r="C472" s="21"/>
      <x:c r="D472" s="21"/>
      <x:c r="E472" s="21"/>
      <x:c r="F472" s="21"/>
      <x:c r="G472" s="21"/>
      <x:c r="H472" s="21"/>
      <x:c r="I472" s="21" t="str">
        <x:f>IF(A472="","",COUNTIF($A$5:$A$504,A472)&gt;1)</x:f>
      </x:c>
      <x:c r="J472" s="21" t="str">
        <x:f>IF(B472="","",COUNTIF('任务记录'!$A$5:$A$104,B472)=1)</x:f>
      </x:c>
      <x:c r="K472" s="21" t="str">
        <x:f>IF(B472="","",COUNTIFS($B$5:$B$504,B472,$E$5:$E$504,"true"))</x:f>
      </x:c>
      <x:c r="L472" s="21" t="str">
        <x:f>IF(A472="","",AND(I472=FALSE,J472=TRUE,K472&lt;=1))</x:f>
      </x:c>
    </x:row>
    <x:row r="473">
      <x:c r="A473" s="21"/>
      <x:c r="B473" s="21"/>
      <x:c r="C473" s="21"/>
      <x:c r="D473" s="21"/>
      <x:c r="E473" s="21"/>
      <x:c r="F473" s="21"/>
      <x:c r="G473" s="21"/>
      <x:c r="H473" s="21"/>
      <x:c r="I473" s="21" t="str">
        <x:f>IF(A473="","",COUNTIF($A$5:$A$504,A473)&gt;1)</x:f>
      </x:c>
      <x:c r="J473" s="21" t="str">
        <x:f>IF(B473="","",COUNTIF('任务记录'!$A$5:$A$104,B473)=1)</x:f>
      </x:c>
      <x:c r="K473" s="21" t="str">
        <x:f>IF(B473="","",COUNTIFS($B$5:$B$504,B473,$E$5:$E$504,"true"))</x:f>
      </x:c>
      <x:c r="L473" s="21" t="str">
        <x:f>IF(A473="","",AND(I473=FALSE,J473=TRUE,K473&lt;=1))</x:f>
      </x:c>
    </x:row>
    <x:row r="474">
      <x:c r="A474" s="21"/>
      <x:c r="B474" s="21"/>
      <x:c r="C474" s="21"/>
      <x:c r="D474" s="21"/>
      <x:c r="E474" s="21"/>
      <x:c r="F474" s="21"/>
      <x:c r="G474" s="21"/>
      <x:c r="H474" s="21"/>
      <x:c r="I474" s="21" t="str">
        <x:f>IF(A474="","",COUNTIF($A$5:$A$504,A474)&gt;1)</x:f>
      </x:c>
      <x:c r="J474" s="21" t="str">
        <x:f>IF(B474="","",COUNTIF('任务记录'!$A$5:$A$104,B474)=1)</x:f>
      </x:c>
      <x:c r="K474" s="21" t="str">
        <x:f>IF(B474="","",COUNTIFS($B$5:$B$504,B474,$E$5:$E$504,"true"))</x:f>
      </x:c>
      <x:c r="L474" s="21" t="str">
        <x:f>IF(A474="","",AND(I474=FALSE,J474=TRUE,K474&lt;=1))</x:f>
      </x:c>
    </x:row>
    <x:row r="475">
      <x:c r="A475" s="21"/>
      <x:c r="B475" s="21"/>
      <x:c r="C475" s="21"/>
      <x:c r="D475" s="21"/>
      <x:c r="E475" s="21"/>
      <x:c r="F475" s="21"/>
      <x:c r="G475" s="21"/>
      <x:c r="H475" s="21"/>
      <x:c r="I475" s="21" t="str">
        <x:f>IF(A475="","",COUNTIF($A$5:$A$504,A475)&gt;1)</x:f>
      </x:c>
      <x:c r="J475" s="21" t="str">
        <x:f>IF(B475="","",COUNTIF('任务记录'!$A$5:$A$104,B475)=1)</x:f>
      </x:c>
      <x:c r="K475" s="21" t="str">
        <x:f>IF(B475="","",COUNTIFS($B$5:$B$504,B475,$E$5:$E$504,"true"))</x:f>
      </x:c>
      <x:c r="L475" s="21" t="str">
        <x:f>IF(A475="","",AND(I475=FALSE,J475=TRUE,K475&lt;=1))</x:f>
      </x:c>
    </x:row>
    <x:row r="476">
      <x:c r="A476" s="21"/>
      <x:c r="B476" s="21"/>
      <x:c r="C476" s="21"/>
      <x:c r="D476" s="21"/>
      <x:c r="E476" s="21"/>
      <x:c r="F476" s="21"/>
      <x:c r="G476" s="21"/>
      <x:c r="H476" s="21"/>
      <x:c r="I476" s="21" t="str">
        <x:f>IF(A476="","",COUNTIF($A$5:$A$504,A476)&gt;1)</x:f>
      </x:c>
      <x:c r="J476" s="21" t="str">
        <x:f>IF(B476="","",COUNTIF('任务记录'!$A$5:$A$104,B476)=1)</x:f>
      </x:c>
      <x:c r="K476" s="21" t="str">
        <x:f>IF(B476="","",COUNTIFS($B$5:$B$504,B476,$E$5:$E$504,"true"))</x:f>
      </x:c>
      <x:c r="L476" s="21" t="str">
        <x:f>IF(A476="","",AND(I476=FALSE,J476=TRUE,K476&lt;=1))</x:f>
      </x:c>
    </x:row>
    <x:row r="477">
      <x:c r="A477" s="21"/>
      <x:c r="B477" s="21"/>
      <x:c r="C477" s="21"/>
      <x:c r="D477" s="21"/>
      <x:c r="E477" s="21"/>
      <x:c r="F477" s="21"/>
      <x:c r="G477" s="21"/>
      <x:c r="H477" s="21"/>
      <x:c r="I477" s="21" t="str">
        <x:f>IF(A477="","",COUNTIF($A$5:$A$504,A477)&gt;1)</x:f>
      </x:c>
      <x:c r="J477" s="21" t="str">
        <x:f>IF(B477="","",COUNTIF('任务记录'!$A$5:$A$104,B477)=1)</x:f>
      </x:c>
      <x:c r="K477" s="21" t="str">
        <x:f>IF(B477="","",COUNTIFS($B$5:$B$504,B477,$E$5:$E$504,"true"))</x:f>
      </x:c>
      <x:c r="L477" s="21" t="str">
        <x:f>IF(A477="","",AND(I477=FALSE,J477=TRUE,K477&lt;=1))</x:f>
      </x:c>
    </x:row>
    <x:row r="478">
      <x:c r="A478" s="21"/>
      <x:c r="B478" s="21"/>
      <x:c r="C478" s="21"/>
      <x:c r="D478" s="21"/>
      <x:c r="E478" s="21"/>
      <x:c r="F478" s="21"/>
      <x:c r="G478" s="21"/>
      <x:c r="H478" s="21"/>
      <x:c r="I478" s="21" t="str">
        <x:f>IF(A478="","",COUNTIF($A$5:$A$504,A478)&gt;1)</x:f>
      </x:c>
      <x:c r="J478" s="21" t="str">
        <x:f>IF(B478="","",COUNTIF('任务记录'!$A$5:$A$104,B478)=1)</x:f>
      </x:c>
      <x:c r="K478" s="21" t="str">
        <x:f>IF(B478="","",COUNTIFS($B$5:$B$504,B478,$E$5:$E$504,"true"))</x:f>
      </x:c>
      <x:c r="L478" s="21" t="str">
        <x:f>IF(A478="","",AND(I478=FALSE,J478=TRUE,K478&lt;=1))</x:f>
      </x:c>
    </x:row>
    <x:row r="479">
      <x:c r="A479" s="21"/>
      <x:c r="B479" s="21"/>
      <x:c r="C479" s="21"/>
      <x:c r="D479" s="21"/>
      <x:c r="E479" s="21"/>
      <x:c r="F479" s="21"/>
      <x:c r="G479" s="21"/>
      <x:c r="H479" s="21"/>
      <x:c r="I479" s="21" t="str">
        <x:f>IF(A479="","",COUNTIF($A$5:$A$504,A479)&gt;1)</x:f>
      </x:c>
      <x:c r="J479" s="21" t="str">
        <x:f>IF(B479="","",COUNTIF('任务记录'!$A$5:$A$104,B479)=1)</x:f>
      </x:c>
      <x:c r="K479" s="21" t="str">
        <x:f>IF(B479="","",COUNTIFS($B$5:$B$504,B479,$E$5:$E$504,"true"))</x:f>
      </x:c>
      <x:c r="L479" s="21" t="str">
        <x:f>IF(A479="","",AND(I479=FALSE,J479=TRUE,K479&lt;=1))</x:f>
      </x:c>
    </x:row>
    <x:row r="480">
      <x:c r="A480" s="21"/>
      <x:c r="B480" s="21"/>
      <x:c r="C480" s="21"/>
      <x:c r="D480" s="21"/>
      <x:c r="E480" s="21"/>
      <x:c r="F480" s="21"/>
      <x:c r="G480" s="21"/>
      <x:c r="H480" s="21"/>
      <x:c r="I480" s="21" t="str">
        <x:f>IF(A480="","",COUNTIF($A$5:$A$504,A480)&gt;1)</x:f>
      </x:c>
      <x:c r="J480" s="21" t="str">
        <x:f>IF(B480="","",COUNTIF('任务记录'!$A$5:$A$104,B480)=1)</x:f>
      </x:c>
      <x:c r="K480" s="21" t="str">
        <x:f>IF(B480="","",COUNTIFS($B$5:$B$504,B480,$E$5:$E$504,"true"))</x:f>
      </x:c>
      <x:c r="L480" s="21" t="str">
        <x:f>IF(A480="","",AND(I480=FALSE,J480=TRUE,K480&lt;=1))</x:f>
      </x:c>
    </x:row>
    <x:row r="481">
      <x:c r="A481" s="21"/>
      <x:c r="B481" s="21"/>
      <x:c r="C481" s="21"/>
      <x:c r="D481" s="21"/>
      <x:c r="E481" s="21"/>
      <x:c r="F481" s="21"/>
      <x:c r="G481" s="21"/>
      <x:c r="H481" s="21"/>
      <x:c r="I481" s="21" t="str">
        <x:f>IF(A481="","",COUNTIF($A$5:$A$504,A481)&gt;1)</x:f>
      </x:c>
      <x:c r="J481" s="21" t="str">
        <x:f>IF(B481="","",COUNTIF('任务记录'!$A$5:$A$104,B481)=1)</x:f>
      </x:c>
      <x:c r="K481" s="21" t="str">
        <x:f>IF(B481="","",COUNTIFS($B$5:$B$504,B481,$E$5:$E$504,"true"))</x:f>
      </x:c>
      <x:c r="L481" s="21" t="str">
        <x:f>IF(A481="","",AND(I481=FALSE,J481=TRUE,K481&lt;=1))</x:f>
      </x:c>
    </x:row>
    <x:row r="482">
      <x:c r="A482" s="21"/>
      <x:c r="B482" s="21"/>
      <x:c r="C482" s="21"/>
      <x:c r="D482" s="21"/>
      <x:c r="E482" s="21"/>
      <x:c r="F482" s="21"/>
      <x:c r="G482" s="21"/>
      <x:c r="H482" s="21"/>
      <x:c r="I482" s="21" t="str">
        <x:f>IF(A482="","",COUNTIF($A$5:$A$504,A482)&gt;1)</x:f>
      </x:c>
      <x:c r="J482" s="21" t="str">
        <x:f>IF(B482="","",COUNTIF('任务记录'!$A$5:$A$104,B482)=1)</x:f>
      </x:c>
      <x:c r="K482" s="21" t="str">
        <x:f>IF(B482="","",COUNTIFS($B$5:$B$504,B482,$E$5:$E$504,"true"))</x:f>
      </x:c>
      <x:c r="L482" s="21" t="str">
        <x:f>IF(A482="","",AND(I482=FALSE,J482=TRUE,K482&lt;=1))</x:f>
      </x:c>
    </x:row>
    <x:row r="483">
      <x:c r="A483" s="21"/>
      <x:c r="B483" s="21"/>
      <x:c r="C483" s="21"/>
      <x:c r="D483" s="21"/>
      <x:c r="E483" s="21"/>
      <x:c r="F483" s="21"/>
      <x:c r="G483" s="21"/>
      <x:c r="H483" s="21"/>
      <x:c r="I483" s="21" t="str">
        <x:f>IF(A483="","",COUNTIF($A$5:$A$504,A483)&gt;1)</x:f>
      </x:c>
      <x:c r="J483" s="21" t="str">
        <x:f>IF(B483="","",COUNTIF('任务记录'!$A$5:$A$104,B483)=1)</x:f>
      </x:c>
      <x:c r="K483" s="21" t="str">
        <x:f>IF(B483="","",COUNTIFS($B$5:$B$504,B483,$E$5:$E$504,"true"))</x:f>
      </x:c>
      <x:c r="L483" s="21" t="str">
        <x:f>IF(A483="","",AND(I483=FALSE,J483=TRUE,K483&lt;=1))</x:f>
      </x:c>
    </x:row>
    <x:row r="484">
      <x:c r="A484" s="21"/>
      <x:c r="B484" s="21"/>
      <x:c r="C484" s="21"/>
      <x:c r="D484" s="21"/>
      <x:c r="E484" s="21"/>
      <x:c r="F484" s="21"/>
      <x:c r="G484" s="21"/>
      <x:c r="H484" s="21"/>
      <x:c r="I484" s="21" t="str">
        <x:f>IF(A484="","",COUNTIF($A$5:$A$504,A484)&gt;1)</x:f>
      </x:c>
      <x:c r="J484" s="21" t="str">
        <x:f>IF(B484="","",COUNTIF('任务记录'!$A$5:$A$104,B484)=1)</x:f>
      </x:c>
      <x:c r="K484" s="21" t="str">
        <x:f>IF(B484="","",COUNTIFS($B$5:$B$504,B484,$E$5:$E$504,"true"))</x:f>
      </x:c>
      <x:c r="L484" s="21" t="str">
        <x:f>IF(A484="","",AND(I484=FALSE,J484=TRUE,K484&lt;=1))</x:f>
      </x:c>
    </x:row>
    <x:row r="485">
      <x:c r="A485" s="21"/>
      <x:c r="B485" s="21"/>
      <x:c r="C485" s="21"/>
      <x:c r="D485" s="21"/>
      <x:c r="E485" s="21"/>
      <x:c r="F485" s="21"/>
      <x:c r="G485" s="21"/>
      <x:c r="H485" s="21"/>
      <x:c r="I485" s="21" t="str">
        <x:f>IF(A485="","",COUNTIF($A$5:$A$504,A485)&gt;1)</x:f>
      </x:c>
      <x:c r="J485" s="21" t="str">
        <x:f>IF(B485="","",COUNTIF('任务记录'!$A$5:$A$104,B485)=1)</x:f>
      </x:c>
      <x:c r="K485" s="21" t="str">
        <x:f>IF(B485="","",COUNTIFS($B$5:$B$504,B485,$E$5:$E$504,"true"))</x:f>
      </x:c>
      <x:c r="L485" s="21" t="str">
        <x:f>IF(A485="","",AND(I485=FALSE,J485=TRUE,K485&lt;=1))</x:f>
      </x:c>
    </x:row>
    <x:row r="486">
      <x:c r="A486" s="21"/>
      <x:c r="B486" s="21"/>
      <x:c r="C486" s="21"/>
      <x:c r="D486" s="21"/>
      <x:c r="E486" s="21"/>
      <x:c r="F486" s="21"/>
      <x:c r="G486" s="21"/>
      <x:c r="H486" s="21"/>
      <x:c r="I486" s="21" t="str">
        <x:f>IF(A486="","",COUNTIF($A$5:$A$504,A486)&gt;1)</x:f>
      </x:c>
      <x:c r="J486" s="21" t="str">
        <x:f>IF(B486="","",COUNTIF('任务记录'!$A$5:$A$104,B486)=1)</x:f>
      </x:c>
      <x:c r="K486" s="21" t="str">
        <x:f>IF(B486="","",COUNTIFS($B$5:$B$504,B486,$E$5:$E$504,"true"))</x:f>
      </x:c>
      <x:c r="L486" s="21" t="str">
        <x:f>IF(A486="","",AND(I486=FALSE,J486=TRUE,K486&lt;=1))</x:f>
      </x:c>
    </x:row>
    <x:row r="487">
      <x:c r="A487" s="21"/>
      <x:c r="B487" s="21"/>
      <x:c r="C487" s="21"/>
      <x:c r="D487" s="21"/>
      <x:c r="E487" s="21"/>
      <x:c r="F487" s="21"/>
      <x:c r="G487" s="21"/>
      <x:c r="H487" s="21"/>
      <x:c r="I487" s="21" t="str">
        <x:f>IF(A487="","",COUNTIF($A$5:$A$504,A487)&gt;1)</x:f>
      </x:c>
      <x:c r="J487" s="21" t="str">
        <x:f>IF(B487="","",COUNTIF('任务记录'!$A$5:$A$104,B487)=1)</x:f>
      </x:c>
      <x:c r="K487" s="21" t="str">
        <x:f>IF(B487="","",COUNTIFS($B$5:$B$504,B487,$E$5:$E$504,"true"))</x:f>
      </x:c>
      <x:c r="L487" s="21" t="str">
        <x:f>IF(A487="","",AND(I487=FALSE,J487=TRUE,K487&lt;=1))</x:f>
      </x:c>
    </x:row>
    <x:row r="488">
      <x:c r="A488" s="21"/>
      <x:c r="B488" s="21"/>
      <x:c r="C488" s="21"/>
      <x:c r="D488" s="21"/>
      <x:c r="E488" s="21"/>
      <x:c r="F488" s="21"/>
      <x:c r="G488" s="21"/>
      <x:c r="H488" s="21"/>
      <x:c r="I488" s="21" t="str">
        <x:f>IF(A488="","",COUNTIF($A$5:$A$504,A488)&gt;1)</x:f>
      </x:c>
      <x:c r="J488" s="21" t="str">
        <x:f>IF(B488="","",COUNTIF('任务记录'!$A$5:$A$104,B488)=1)</x:f>
      </x:c>
      <x:c r="K488" s="21" t="str">
        <x:f>IF(B488="","",COUNTIFS($B$5:$B$504,B488,$E$5:$E$504,"true"))</x:f>
      </x:c>
      <x:c r="L488" s="21" t="str">
        <x:f>IF(A488="","",AND(I488=FALSE,J488=TRUE,K488&lt;=1))</x:f>
      </x:c>
    </x:row>
    <x:row r="489">
      <x:c r="A489" s="21"/>
      <x:c r="B489" s="21"/>
      <x:c r="C489" s="21"/>
      <x:c r="D489" s="21"/>
      <x:c r="E489" s="21"/>
      <x:c r="F489" s="21"/>
      <x:c r="G489" s="21"/>
      <x:c r="H489" s="21"/>
      <x:c r="I489" s="21" t="str">
        <x:f>IF(A489="","",COUNTIF($A$5:$A$504,A489)&gt;1)</x:f>
      </x:c>
      <x:c r="J489" s="21" t="str">
        <x:f>IF(B489="","",COUNTIF('任务记录'!$A$5:$A$104,B489)=1)</x:f>
      </x:c>
      <x:c r="K489" s="21" t="str">
        <x:f>IF(B489="","",COUNTIFS($B$5:$B$504,B489,$E$5:$E$504,"true"))</x:f>
      </x:c>
      <x:c r="L489" s="21" t="str">
        <x:f>IF(A489="","",AND(I489=FALSE,J489=TRUE,K489&lt;=1))</x:f>
      </x:c>
    </x:row>
    <x:row r="490">
      <x:c r="A490" s="21"/>
      <x:c r="B490" s="21"/>
      <x:c r="C490" s="21"/>
      <x:c r="D490" s="21"/>
      <x:c r="E490" s="21"/>
      <x:c r="F490" s="21"/>
      <x:c r="G490" s="21"/>
      <x:c r="H490" s="21"/>
      <x:c r="I490" s="21" t="str">
        <x:f>IF(A490="","",COUNTIF($A$5:$A$504,A490)&gt;1)</x:f>
      </x:c>
      <x:c r="J490" s="21" t="str">
        <x:f>IF(B490="","",COUNTIF('任务记录'!$A$5:$A$104,B490)=1)</x:f>
      </x:c>
      <x:c r="K490" s="21" t="str">
        <x:f>IF(B490="","",COUNTIFS($B$5:$B$504,B490,$E$5:$E$504,"true"))</x:f>
      </x:c>
      <x:c r="L490" s="21" t="str">
        <x:f>IF(A490="","",AND(I490=FALSE,J490=TRUE,K490&lt;=1))</x:f>
      </x:c>
    </x:row>
    <x:row r="491">
      <x:c r="A491" s="21"/>
      <x:c r="B491" s="21"/>
      <x:c r="C491" s="21"/>
      <x:c r="D491" s="21"/>
      <x:c r="E491" s="21"/>
      <x:c r="F491" s="21"/>
      <x:c r="G491" s="21"/>
      <x:c r="H491" s="21"/>
      <x:c r="I491" s="21" t="str">
        <x:f>IF(A491="","",COUNTIF($A$5:$A$504,A491)&gt;1)</x:f>
      </x:c>
      <x:c r="J491" s="21" t="str">
        <x:f>IF(B491="","",COUNTIF('任务记录'!$A$5:$A$104,B491)=1)</x:f>
      </x:c>
      <x:c r="K491" s="21" t="str">
        <x:f>IF(B491="","",COUNTIFS($B$5:$B$504,B491,$E$5:$E$504,"true"))</x:f>
      </x:c>
      <x:c r="L491" s="21" t="str">
        <x:f>IF(A491="","",AND(I491=FALSE,J491=TRUE,K491&lt;=1))</x:f>
      </x:c>
    </x:row>
    <x:row r="492">
      <x:c r="A492" s="21"/>
      <x:c r="B492" s="21"/>
      <x:c r="C492" s="21"/>
      <x:c r="D492" s="21"/>
      <x:c r="E492" s="21"/>
      <x:c r="F492" s="21"/>
      <x:c r="G492" s="21"/>
      <x:c r="H492" s="21"/>
      <x:c r="I492" s="21" t="str">
        <x:f>IF(A492="","",COUNTIF($A$5:$A$504,A492)&gt;1)</x:f>
      </x:c>
      <x:c r="J492" s="21" t="str">
        <x:f>IF(B492="","",COUNTIF('任务记录'!$A$5:$A$104,B492)=1)</x:f>
      </x:c>
      <x:c r="K492" s="21" t="str">
        <x:f>IF(B492="","",COUNTIFS($B$5:$B$504,B492,$E$5:$E$504,"true"))</x:f>
      </x:c>
      <x:c r="L492" s="21" t="str">
        <x:f>IF(A492="","",AND(I492=FALSE,J492=TRUE,K492&lt;=1))</x:f>
      </x:c>
    </x:row>
    <x:row r="493">
      <x:c r="A493" s="21"/>
      <x:c r="B493" s="21"/>
      <x:c r="C493" s="21"/>
      <x:c r="D493" s="21"/>
      <x:c r="E493" s="21"/>
      <x:c r="F493" s="21"/>
      <x:c r="G493" s="21"/>
      <x:c r="H493" s="21"/>
      <x:c r="I493" s="21" t="str">
        <x:f>IF(A493="","",COUNTIF($A$5:$A$504,A493)&gt;1)</x:f>
      </x:c>
      <x:c r="J493" s="21" t="str">
        <x:f>IF(B493="","",COUNTIF('任务记录'!$A$5:$A$104,B493)=1)</x:f>
      </x:c>
      <x:c r="K493" s="21" t="str">
        <x:f>IF(B493="","",COUNTIFS($B$5:$B$504,B493,$E$5:$E$504,"true"))</x:f>
      </x:c>
      <x:c r="L493" s="21" t="str">
        <x:f>IF(A493="","",AND(I493=FALSE,J493=TRUE,K493&lt;=1))</x:f>
      </x:c>
    </x:row>
    <x:row r="494">
      <x:c r="A494" s="21"/>
      <x:c r="B494" s="21"/>
      <x:c r="C494" s="21"/>
      <x:c r="D494" s="21"/>
      <x:c r="E494" s="21"/>
      <x:c r="F494" s="21"/>
      <x:c r="G494" s="21"/>
      <x:c r="H494" s="21"/>
      <x:c r="I494" s="21" t="str">
        <x:f>IF(A494="","",COUNTIF($A$5:$A$504,A494)&gt;1)</x:f>
      </x:c>
      <x:c r="J494" s="21" t="str">
        <x:f>IF(B494="","",COUNTIF('任务记录'!$A$5:$A$104,B494)=1)</x:f>
      </x:c>
      <x:c r="K494" s="21" t="str">
        <x:f>IF(B494="","",COUNTIFS($B$5:$B$504,B494,$E$5:$E$504,"true"))</x:f>
      </x:c>
      <x:c r="L494" s="21" t="str">
        <x:f>IF(A494="","",AND(I494=FALSE,J494=TRUE,K494&lt;=1))</x:f>
      </x:c>
    </x:row>
    <x:row r="495">
      <x:c r="A495" s="21"/>
      <x:c r="B495" s="21"/>
      <x:c r="C495" s="21"/>
      <x:c r="D495" s="21"/>
      <x:c r="E495" s="21"/>
      <x:c r="F495" s="21"/>
      <x:c r="G495" s="21"/>
      <x:c r="H495" s="21"/>
      <x:c r="I495" s="21" t="str">
        <x:f>IF(A495="","",COUNTIF($A$5:$A$504,A495)&gt;1)</x:f>
      </x:c>
      <x:c r="J495" s="21" t="str">
        <x:f>IF(B495="","",COUNTIF('任务记录'!$A$5:$A$104,B495)=1)</x:f>
      </x:c>
      <x:c r="K495" s="21" t="str">
        <x:f>IF(B495="","",COUNTIFS($B$5:$B$504,B495,$E$5:$E$504,"true"))</x:f>
      </x:c>
      <x:c r="L495" s="21" t="str">
        <x:f>IF(A495="","",AND(I495=FALSE,J495=TRUE,K495&lt;=1))</x:f>
      </x:c>
    </x:row>
    <x:row r="496">
      <x:c r="A496" s="21"/>
      <x:c r="B496" s="21"/>
      <x:c r="C496" s="21"/>
      <x:c r="D496" s="21"/>
      <x:c r="E496" s="21"/>
      <x:c r="F496" s="21"/>
      <x:c r="G496" s="21"/>
      <x:c r="H496" s="21"/>
      <x:c r="I496" s="21" t="str">
        <x:f>IF(A496="","",COUNTIF($A$5:$A$504,A496)&gt;1)</x:f>
      </x:c>
      <x:c r="J496" s="21" t="str">
        <x:f>IF(B496="","",COUNTIF('任务记录'!$A$5:$A$104,B496)=1)</x:f>
      </x:c>
      <x:c r="K496" s="21" t="str">
        <x:f>IF(B496="","",COUNTIFS($B$5:$B$504,B496,$E$5:$E$504,"true"))</x:f>
      </x:c>
      <x:c r="L496" s="21" t="str">
        <x:f>IF(A496="","",AND(I496=FALSE,J496=TRUE,K496&lt;=1))</x:f>
      </x:c>
    </x:row>
    <x:row r="497">
      <x:c r="A497" s="21"/>
      <x:c r="B497" s="21"/>
      <x:c r="C497" s="21"/>
      <x:c r="D497" s="21"/>
      <x:c r="E497" s="21"/>
      <x:c r="F497" s="21"/>
      <x:c r="G497" s="21"/>
      <x:c r="H497" s="21"/>
      <x:c r="I497" s="21" t="str">
        <x:f>IF(A497="","",COUNTIF($A$5:$A$504,A497)&gt;1)</x:f>
      </x:c>
      <x:c r="J497" s="21" t="str">
        <x:f>IF(B497="","",COUNTIF('任务记录'!$A$5:$A$104,B497)=1)</x:f>
      </x:c>
      <x:c r="K497" s="21" t="str">
        <x:f>IF(B497="","",COUNTIFS($B$5:$B$504,B497,$E$5:$E$504,"true"))</x:f>
      </x:c>
      <x:c r="L497" s="21" t="str">
        <x:f>IF(A497="","",AND(I497=FALSE,J497=TRUE,K497&lt;=1))</x:f>
      </x:c>
    </x:row>
    <x:row r="498">
      <x:c r="A498" s="21"/>
      <x:c r="B498" s="21"/>
      <x:c r="C498" s="21"/>
      <x:c r="D498" s="21"/>
      <x:c r="E498" s="21"/>
      <x:c r="F498" s="21"/>
      <x:c r="G498" s="21"/>
      <x:c r="H498" s="21"/>
      <x:c r="I498" s="21" t="str">
        <x:f>IF(A498="","",COUNTIF($A$5:$A$504,A498)&gt;1)</x:f>
      </x:c>
      <x:c r="J498" s="21" t="str">
        <x:f>IF(B498="","",COUNTIF('任务记录'!$A$5:$A$104,B498)=1)</x:f>
      </x:c>
      <x:c r="K498" s="21" t="str">
        <x:f>IF(B498="","",COUNTIFS($B$5:$B$504,B498,$E$5:$E$504,"true"))</x:f>
      </x:c>
      <x:c r="L498" s="21" t="str">
        <x:f>IF(A498="","",AND(I498=FALSE,J498=TRUE,K498&lt;=1))</x:f>
      </x:c>
    </x:row>
    <x:row r="499">
      <x:c r="A499" s="21"/>
      <x:c r="B499" s="21"/>
      <x:c r="C499" s="21"/>
      <x:c r="D499" s="21"/>
      <x:c r="E499" s="21"/>
      <x:c r="F499" s="21"/>
      <x:c r="G499" s="21"/>
      <x:c r="H499" s="21"/>
      <x:c r="I499" s="21" t="str">
        <x:f>IF(A499="","",COUNTIF($A$5:$A$504,A499)&gt;1)</x:f>
      </x:c>
      <x:c r="J499" s="21" t="str">
        <x:f>IF(B499="","",COUNTIF('任务记录'!$A$5:$A$104,B499)=1)</x:f>
      </x:c>
      <x:c r="K499" s="21" t="str">
        <x:f>IF(B499="","",COUNTIFS($B$5:$B$504,B499,$E$5:$E$504,"true"))</x:f>
      </x:c>
      <x:c r="L499" s="21" t="str">
        <x:f>IF(A499="","",AND(I499=FALSE,J499=TRUE,K499&lt;=1))</x:f>
      </x:c>
    </x:row>
    <x:row r="500">
      <x:c r="A500" s="21"/>
      <x:c r="B500" s="21"/>
      <x:c r="C500" s="21"/>
      <x:c r="D500" s="21"/>
      <x:c r="E500" s="21"/>
      <x:c r="F500" s="21"/>
      <x:c r="G500" s="21"/>
      <x:c r="H500" s="21"/>
      <x:c r="I500" s="21" t="str">
        <x:f>IF(A500="","",COUNTIF($A$5:$A$504,A500)&gt;1)</x:f>
      </x:c>
      <x:c r="J500" s="21" t="str">
        <x:f>IF(B500="","",COUNTIF('任务记录'!$A$5:$A$104,B500)=1)</x:f>
      </x:c>
      <x:c r="K500" s="21" t="str">
        <x:f>IF(B500="","",COUNTIFS($B$5:$B$504,B500,$E$5:$E$504,"true"))</x:f>
      </x:c>
      <x:c r="L500" s="21" t="str">
        <x:f>IF(A500="","",AND(I500=FALSE,J500=TRUE,K500&lt;=1))</x:f>
      </x:c>
    </x:row>
    <x:row r="501">
      <x:c r="A501" s="21"/>
      <x:c r="B501" s="21"/>
      <x:c r="C501" s="21"/>
      <x:c r="D501" s="21"/>
      <x:c r="E501" s="21"/>
      <x:c r="F501" s="21"/>
      <x:c r="G501" s="21"/>
      <x:c r="H501" s="21"/>
      <x:c r="I501" s="21" t="str">
        <x:f>IF(A501="","",COUNTIF($A$5:$A$504,A501)&gt;1)</x:f>
      </x:c>
      <x:c r="J501" s="21" t="str">
        <x:f>IF(B501="","",COUNTIF('任务记录'!$A$5:$A$104,B501)=1)</x:f>
      </x:c>
      <x:c r="K501" s="21" t="str">
        <x:f>IF(B501="","",COUNTIFS($B$5:$B$504,B501,$E$5:$E$504,"true"))</x:f>
      </x:c>
      <x:c r="L501" s="21" t="str">
        <x:f>IF(A501="","",AND(I501=FALSE,J501=TRUE,K501&lt;=1))</x:f>
      </x:c>
    </x:row>
    <x:row r="502">
      <x:c r="A502" s="21"/>
      <x:c r="B502" s="21"/>
      <x:c r="C502" s="21"/>
      <x:c r="D502" s="21"/>
      <x:c r="E502" s="21"/>
      <x:c r="F502" s="21"/>
      <x:c r="G502" s="21"/>
      <x:c r="H502" s="21"/>
      <x:c r="I502" s="21" t="str">
        <x:f>IF(A502="","",COUNTIF($A$5:$A$504,A502)&gt;1)</x:f>
      </x:c>
      <x:c r="J502" s="21" t="str">
        <x:f>IF(B502="","",COUNTIF('任务记录'!$A$5:$A$104,B502)=1)</x:f>
      </x:c>
      <x:c r="K502" s="21" t="str">
        <x:f>IF(B502="","",COUNTIFS($B$5:$B$504,B502,$E$5:$E$504,"true"))</x:f>
      </x:c>
      <x:c r="L502" s="21" t="str">
        <x:f>IF(A502="","",AND(I502=FALSE,J502=TRUE,K502&lt;=1))</x:f>
      </x:c>
    </x:row>
    <x:row r="503">
      <x:c r="A503" s="21"/>
      <x:c r="B503" s="21"/>
      <x:c r="C503" s="21"/>
      <x:c r="D503" s="21"/>
      <x:c r="E503" s="21"/>
      <x:c r="F503" s="21"/>
      <x:c r="G503" s="21"/>
      <x:c r="H503" s="21"/>
      <x:c r="I503" s="21" t="str">
        <x:f>IF(A503="","",COUNTIF($A$5:$A$504,A503)&gt;1)</x:f>
      </x:c>
      <x:c r="J503" s="21" t="str">
        <x:f>IF(B503="","",COUNTIF('任务记录'!$A$5:$A$104,B503)=1)</x:f>
      </x:c>
      <x:c r="K503" s="21" t="str">
        <x:f>IF(B503="","",COUNTIFS($B$5:$B$504,B503,$E$5:$E$504,"true"))</x:f>
      </x:c>
      <x:c r="L503" s="21" t="str">
        <x:f>IF(A503="","",AND(I503=FALSE,J503=TRUE,K503&lt;=1))</x:f>
      </x:c>
    </x:row>
    <x:row r="504">
      <x:c r="A504" s="21"/>
      <x:c r="B504" s="21"/>
      <x:c r="C504" s="21"/>
      <x:c r="D504" s="21"/>
      <x:c r="E504" s="21"/>
      <x:c r="F504" s="21"/>
      <x:c r="G504" s="21"/>
      <x:c r="H504" s="21"/>
      <x:c r="I504" s="21" t="str">
        <x:f>IF(A504="","",COUNTIF($A$5:$A$504,A504)&gt;1)</x:f>
      </x:c>
      <x:c r="J504" s="21" t="str">
        <x:f>IF(B504="","",COUNTIF('任务记录'!$A$5:$A$104,B504)=1)</x:f>
      </x:c>
      <x:c r="K504" s="21" t="str">
        <x:f>IF(B504="","",COUNTIFS($B$5:$B$504,B504,$E$5:$E$504,"true"))</x:f>
      </x:c>
      <x:c r="L504" s="21" t="str">
        <x:f>IF(A504="","",AND(I504=FALSE,J504=TRUE,K504&lt;=1))</x:f>
      </x:c>
    </x:row>
  </x:sheetData>
  <x:mergeCells>
    <x:mergeCell ref="A1:L1"/>
    <x:mergeCell ref="A2:L2"/>
  </x:mergeCells>
  <x:dataValidations count="3">
    <x:dataValidation type="list" sqref="D5:E504">
      <x:formula1>"true,false"</x:formula1>
    </x:dataValidation>
    <x:dataValidation type="list" sqref="G5:G504">
      <x:formula1>"true,false"</x:formula1>
    </x:dataValidation>
    <x:dataValidation type="whole" operator="between" sqref="C5:C504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df1f1ace3d049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9" hidden="0" customWidth="1"/>
    <x:col min="5" max="5" width="19" hidden="0" customWidth="1"/>
    <x:col min="6" max="6" width="58" hidden="0" customWidth="1"/>
  </x:cols>
  <x:sheetData>
    <x:row r="1" ht="34" customHeight="1">
      <x:c r="A1" s="3" t="str">
        <x:v>研究指标汇总</x:v>
      </x:c>
      <x:c r="B1" s="3" t="str">
        <x:v>研究指标汇总</x:v>
      </x:c>
      <x:c r="C1" s="3" t="str">
        <x:v>研究指标汇总</x:v>
      </x:c>
      <x:c r="D1" s="3" t="str">
        <x:v>研究指标汇总</x:v>
      </x:c>
      <x:c r="E1" s="3" t="str">
        <x:v>研究指标汇总</x:v>
      </x:c>
      <x:c r="F1" s="3" t="str">
        <x:v>研究指标汇总</x:v>
      </x:c>
    </x:row>
    <x:row r="2" ht="30" customHeight="1">
      <x:c r="A2" s="7" t="str">
        <x:v>所有结果由原始记录公式驱动。空白模板显示待录入；达到样本门槛也不等于假设成立或 Prompt 可升级。</x:v>
      </x:c>
      <x:c r="B2" s="7" t="str">
        <x:v>所有结果由原始记录公式驱动。空白模板显示待录入；达到样本门槛也不等于假设成立或 Prompt 可升级。</x:v>
      </x:c>
      <x:c r="C2" s="7" t="str">
        <x:v>所有结果由原始记录公式驱动。空白模板显示待录入；达到样本门槛也不等于假设成立或 Prompt 可升级。</x:v>
      </x:c>
      <x:c r="D2" s="7" t="str">
        <x:v>所有结果由原始记录公式驱动。空白模板显示待录入；达到样本门槛也不等于假设成立或 Prompt 可升级。</x:v>
      </x:c>
      <x:c r="E2" s="7" t="str">
        <x:v>所有结果由原始记录公式驱动。空白模板显示待录入；达到样本门槛也不等于假设成立或 Prompt 可升级。</x:v>
      </x:c>
      <x:c r="F2" s="7" t="str">
        <x:v>所有结果由原始记录公式驱动。空白模板显示待录入；达到样本门槛也不等于假设成立或 Prompt 可升级。</x:v>
      </x:c>
    </x:row>
    <x:row r="4">
      <x:c r="A4" s="64" t="str">
        <x:v>研究状态</x:v>
      </x:c>
      <x:c r="B4" s="66" t="str">
        <x:f>IF(COUNTA('任务记录'!$A$5:$A$104)=0,"待录入",IF(AND(COUNTIFS('参与者'!$C$5:$C$24,"consented",'参与者'!$H$5:$H$24,"active")&gt;=5,COUNTIF('任务记录'!$X$5:$X$104,TRUE)&gt;=30),"可形成基线报告","样本不足，仅报告计数"))</x:f>
        <x:v>待录入</x:v>
      </x:c>
    </x:row>
    <x:row r="5">
      <x:c r="A5" s="64" t="str">
        <x:v>公开结论权限</x:v>
      </x:c>
      <x:c r="B5" s="66" t="str">
        <x:v>仅产品负责人审批后可同步公开证据</x:v>
      </x:c>
    </x:row>
    <x:row r="7" ht="32" customHeight="1">
      <x:c r="A7" s="14" t="str">
        <x:v>指标</x:v>
      </x:c>
      <x:c r="B7" s="54" t="str">
        <x:v>分子</x:v>
      </x:c>
      <x:c r="C7" s="54" t="str">
        <x:v>分母</x:v>
      </x:c>
      <x:c r="D7" s="54" t="str">
        <x:v>结果</x:v>
      </x:c>
      <x:c r="E7" s="54" t="str">
        <x:v>当前状态</x:v>
      </x:c>
      <x:c r="F7" s="15" t="str">
        <x:v>证据边界</x:v>
      </x:c>
    </x:row>
    <x:row r="8">
      <x:c r="A8" s="20" t="str">
        <x:v>招募进度（有效/目标5人）</x:v>
      </x:c>
      <x:c r="B8" s="20" t="n">
        <x:f>COUNTIFS('参与者'!$C$5:$C$24,"consented",'参与者'!$H$5:$H$24,"active")</x:f>
        <x:v>0</x:v>
      </x:c>
      <x:c r="C8" s="20" t="n">
        <x:v>5</x:v>
      </x:c>
      <x:c r="D8" s="20" t="n">
        <x:f>B8</x:f>
        <x:v>0</x:v>
      </x:c>
      <x:c r="E8" s="20" t="str">
        <x:f>IF(B8=0,"待录入",IF(B8&gt;=5,"达到最低招募数","样本不足"))</x:f>
        <x:v>待录入</x:v>
      </x:c>
      <x:c r="F8" s="22" t="str">
        <x:v>有效指已同意且未退出；分母 5 是最低目标，不是已招募样本。</x:v>
      </x:c>
    </x:row>
    <x:row r="9">
      <x:c r="A9" s="21" t="str">
        <x:v>生成完成率</x:v>
      </x:c>
      <x:c r="B9" s="21" t="n">
        <x:f>COUNTIFS('任务记录'!$J$5:$J$104,"true",'任务记录'!$K$5:$K$104,"true")</x:f>
        <x:v>0</x:v>
      </x:c>
      <x:c r="C9" s="21" t="n">
        <x:f>COUNTIF('任务记录'!$J$5:$J$104,"true")</x:f>
        <x:v>0</x:v>
      </x:c>
      <x:c r="D9" s="67" t="str">
        <x:f>IF(C9=0,"",B9/C9)</x:f>
      </x:c>
      <x:c r="E9" s="21" t="str">
        <x:f>IF(C9=0,"待录入","可计算")</x:f>
        <x:v>待录入</x:v>
      </x:c>
      <x:c r="F9" s="23" t="str">
        <x:v>只计算 real_user 工作簿任务，不与模拟或离线评测合并。</x:v>
      </x:c>
    </x:row>
    <x:row r="10">
      <x:c r="A10" s="21" t="str">
        <x:v>有效任务完成率</x:v>
      </x:c>
      <x:c r="B10" s="21" t="n">
        <x:f>COUNTIF('任务记录'!$X$5:$X$104,TRUE)</x:f>
        <x:v>0</x:v>
      </x:c>
      <x:c r="C10" s="21" t="n">
        <x:f>COUNTIF('任务记录'!$J$5:$J$104,"true")</x:f>
        <x:v>0</x:v>
      </x:c>
      <x:c r="D10" s="67" t="str">
        <x:f>IF(C10=0,"",B10/C10)</x:f>
      </x:c>
      <x:c r="E10" s="21" t="str">
        <x:f>IF(C10=0,"待录入",IF(B10&gt;=30,"达到基线样本","样本不足"))</x:f>
        <x:v>待录入</x:v>
      </x:c>
      <x:c r="F10" s="23" t="str">
        <x:v>少于 30 个有效任务只报告观察与计数。</x:v>
      </x:c>
    </x:row>
    <x:row r="11">
      <x:c r="A11" s="21" t="str">
        <x:v>反馈响应率</x:v>
      </x:c>
      <x:c r="B11" s="21" t="n">
        <x:f>COUNTIFS('任务记录'!$X$5:$X$104,TRUE,'任务记录'!$P$5:$P$104,"true")</x:f>
        <x:v>0</x:v>
      </x:c>
      <x:c r="C11" s="21" t="n">
        <x:f>COUNTIF('任务记录'!$X$5:$X$104,TRUE)</x:f>
        <x:v>0</x:v>
      </x:c>
      <x:c r="D11" s="67" t="str">
        <x:f>IF(C11=0,"",B11/C11)</x:f>
      </x:c>
      <x:c r="E11" s="21" t="str">
        <x:f>IF(C11=0,"待录入","可计算")</x:f>
        <x:v>待录入</x:v>
      </x:c>
      <x:c r="F11" s="23" t="str">
        <x:v>未提交反馈的有效任务保留在分母。</x:v>
      </x:c>
    </x:row>
    <x:row r="12">
      <x:c r="A12" s="21" t="str">
        <x:v>任务级选择率</x:v>
      </x:c>
      <x:c r="B12" s="21" t="n">
        <x:f>COUNTIFS('任务记录'!$X$5:$X$104,TRUE,'任务记录'!$N$5:$N$104,"&lt;&gt;")</x:f>
        <x:v>0</x:v>
      </x:c>
      <x:c r="C12" s="21" t="n">
        <x:f>COUNTIF('任务记录'!$X$5:$X$104,TRUE)</x:f>
        <x:v>0</x:v>
      </x:c>
      <x:c r="D12" s="67" t="str">
        <x:f>IF(C12=0,"",B12/C12)</x:f>
      </x:c>
      <x:c r="E12" s="21" t="str">
        <x:f>IF(C12=0,"待录入","可计算")</x:f>
        <x:v>待录入</x:v>
      </x:c>
      <x:c r="F12" s="23" t="str">
        <x:v>表示测试内最终选择，不等于发布采用。</x:v>
      </x:c>
    </x:row>
    <x:row r="13">
      <x:c r="A13" s="21" t="str">
        <x:v>已确认采用率</x:v>
      </x:c>
      <x:c r="B13" s="21" t="n">
        <x:f>COUNTIFS('任务记录'!$X$5:$X$104,TRUE,'任务记录'!$O$5:$O$104,"direct_use")+COUNTIFS('任务记录'!$X$5:$X$104,TRUE,'任务记录'!$O$5:$O$104,"light_edit")+COUNTIFS('任务记录'!$X$5:$X$104,TRUE,'任务记录'!$O$5:$O$104,"heavy_rewrite")</x:f>
        <x:v>0</x:v>
      </x:c>
      <x:c r="C13" s="21" t="n">
        <x:f>COUNTIF('任务记录'!$X$5:$X$104,TRUE)</x:f>
        <x:v>0</x:v>
      </x:c>
      <x:c r="D13" s="67" t="str">
        <x:f>IF(C13=0,"",B13/C13)</x:f>
      </x:c>
      <x:c r="E13" s="21" t="str">
        <x:f>IF(C13=0,"待录入","可计算")</x:f>
        <x:v>待录入</x:v>
      </x:c>
      <x:c r="F13" s="23" t="str">
        <x:v>采用包含直接使用或修改后使用，不等于实际发布。</x:v>
      </x:c>
    </x:row>
    <x:row r="14">
      <x:c r="A14" s="21" t="str">
        <x:v>实际发布采用率</x:v>
      </x:c>
      <x:c r="B14" s="21" t="n">
        <x:f>COUNTIFS('任务记录'!$X$5:$X$104,TRUE,'任务记录'!$S$5:$S$104,"true",'任务记录'!$T$5:$T$104,"true")</x:f>
        <x:v>0</x:v>
      </x:c>
      <x:c r="C14" s="21" t="n">
        <x:f>COUNTIFS('任务记录'!$X$5:$X$104,TRUE,'任务记录'!$S$5:$S$104,"true")</x:f>
        <x:v>0</x:v>
      </x:c>
      <x:c r="D14" s="67" t="str">
        <x:f>IF(C14=0,"",B14/C14)</x:f>
      </x:c>
      <x:c r="E14" s="21" t="str">
        <x:f>IF(C14=0,"待授权样本","可计算")</x:f>
        <x:v>待授权样本</x:v>
      </x:c>
      <x:c r="F14" s="23" t="str">
        <x:v>只有明确授权发布回访的完成任务进入分母。</x:v>
      </x:c>
    </x:row>
    <x:row r="15">
      <x:c r="A15" s="21" t="str">
        <x:v>平均比较负担</x:v>
      </x:c>
      <x:c r="B15" s="21" t="str">
        <x:f>IFERROR(AVERAGEIFS('任务记录'!$Q$5:$Q$104,'任务记录'!$X$5:$X$104,TRUE),"")</x:f>
      </x:c>
      <x:c r="C15" s="21" t="n">
        <x:f>COUNTIFS('任务记录'!$X$5:$X$104,TRUE,'任务记录'!$Q$5:$Q$104,"&gt;0")</x:f>
        <x:v>0</x:v>
      </x:c>
      <x:c r="D15" s="62" t="n">
        <x:f>B15</x:f>
        <x:v>0</x:v>
      </x:c>
      <x:c r="E15" s="21" t="str">
        <x:f>IF(C15=0,"待录入","可计算")</x:f>
        <x:v>待录入</x:v>
      </x:c>
      <x:c r="F15" s="23" t="str">
        <x:v>1–5 分主观负担；必须与候选数量和决策时间一起解释。</x:v>
      </x:c>
    </x:row>
    <x:row r="18">
      <x:c r="A18" s="43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B18" s="44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C18" s="44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D18" s="44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E18" s="44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F18" s="45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</x:row>
    <x:row r="19">
      <x:c r="A19" s="46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B19" s="47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C19" s="47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D19" s="47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E19" s="47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F19" s="48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</x:row>
    <x:row r="20">
      <x:c r="A20" s="46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B20" s="47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C20" s="47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D20" s="47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E20" s="47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F20" s="48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</x:row>
    <x:row r="21">
      <x:c r="A21" s="49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B21" s="50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C21" s="50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D21" s="50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E21" s="50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  <x:c r="F21" s="51" t="str">
        <x:v>决策规则：本表只能形成研究基线和问题优先级。Prompt 升级仍需完整固定案例评测、双人盲评、Bad Case 护栏和产品负责人批准；任何真实用户比例都必须同时披露整数分子、整数分母、排除规则、时间范围和 Prompt 版本。</x:v>
      </x:c>
    </x:row>
  </x:sheetData>
  <x:mergeCells>
    <x:mergeCell ref="A1:F1"/>
    <x:mergeCell ref="A2:F2"/>
    <x:mergeCell ref="A18:F21"/>
  </x:mergeCells>
  <x:conditionalFormatting sqref="E8:E15">
    <x:cfRule type="containsText" dxfId="2" priority="1" operator="containsText" text="样本不足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58" hidden="0" customWidth="1"/>
  </x:cols>
  <x:sheetData>
    <x:row r="1" ht="34" customHeight="1">
      <x:c r="A1" s="3" t="str">
        <x:v>数据质量检查</x:v>
      </x:c>
      <x:c r="B1" s="3" t="str">
        <x:v>数据质量检查</x:v>
      </x:c>
      <x:c r="C1" s="3" t="str">
        <x:v>数据质量检查</x:v>
      </x:c>
      <x:c r="D1" s="3" t="str">
        <x:v>数据质量检查</x:v>
      </x:c>
      <x:c r="E1" s="3" t="str">
        <x:v>数据质量检查</x:v>
      </x:c>
    </x:row>
    <x:row r="2" ht="30" customHeight="1">
      <x:c r="A2" s="7" t="str">
        <x:v>除“待录入”外，公开前所有检查必须为通过；任何失败都需要回到原始记录修正或排除。</x:v>
      </x:c>
      <x:c r="B2" s="7" t="str">
        <x:v>除“待录入”外，公开前所有检查必须为通过；任何失败都需要回到原始记录修正或排除。</x:v>
      </x:c>
      <x:c r="C2" s="7" t="str">
        <x:v>除“待录入”外，公开前所有检查必须为通过；任何失败都需要回到原始记录修正或排除。</x:v>
      </x:c>
      <x:c r="D2" s="7" t="str">
        <x:v>除“待录入”外，公开前所有检查必须为通过；任何失败都需要回到原始记录修正或排除。</x:v>
      </x:c>
      <x:c r="E2" s="7" t="str">
        <x:v>除“待录入”外，公开前所有检查必须为通过；任何失败都需要回到原始记录修正或排除。</x:v>
      </x:c>
    </x:row>
    <x:row r="4" ht="32" customHeight="1">
      <x:c r="A4" s="14" t="str">
        <x:v>检查项</x:v>
      </x:c>
      <x:c r="B4" s="54" t="str">
        <x:v>异常数</x:v>
      </x:c>
      <x:c r="C4" s="54" t="str">
        <x:v>门槛</x:v>
      </x:c>
      <x:c r="D4" s="54" t="str">
        <x:v>状态</x:v>
      </x:c>
      <x:c r="E4" s="15" t="str">
        <x:v>处理要求</x:v>
      </x:c>
    </x:row>
    <x:row r="5">
      <x:c r="A5" s="20" t="str">
        <x:v>重复 participant_id</x:v>
      </x:c>
      <x:c r="B5" s="20" t="n">
        <x:f>COUNTIF('参与者'!$K$5:$K$24,TRUE)</x:f>
        <x:v>0</x:v>
      </x:c>
      <x:c r="C5" s="20" t="n">
        <x:v>0</x:v>
      </x:c>
      <x:c r="D5" s="20" t="str">
        <x:f>IF(COUNTA('参与者'!$A$5:$A$24)=0,"待录入",IF(B5=0,"通过","失败"))</x:f>
        <x:v>待录入</x:v>
      </x:c>
      <x:c r="E5" s="22" t="str">
        <x:v>修正匿名编码，不得用覆盖方式隐藏冲突。</x:v>
      </x:c>
    </x:row>
    <x:row r="6">
      <x:c r="A6" s="21" t="str">
        <x:v>重复 task_id</x:v>
      </x:c>
      <x:c r="B6" s="21" t="n">
        <x:f>COUNTIF('任务记录'!$Y$5:$Y$104,TRUE)</x:f>
        <x:v>0</x:v>
      </x:c>
      <x:c r="C6" s="21" t="n">
        <x:v>0</x:v>
      </x:c>
      <x:c r="D6" s="21" t="str">
        <x:f>IF(COUNTA('任务记录'!$A$5:$A$104)=0,"待录入",IF(B6=0,"通过","失败"))</x:f>
        <x:v>待录入</x:v>
      </x:c>
      <x:c r="E6" s="23" t="str">
        <x:v>一个 task_id 只能代表一个任务。</x:v>
      </x:c>
    </x:row>
    <x:row r="7">
      <x:c r="A7" s="21" t="str">
        <x:v>重复 hook_id</x:v>
      </x:c>
      <x:c r="B7" s="21" t="n">
        <x:f>COUNTIF('Hook反馈'!$I$5:$I$504,TRUE)</x:f>
        <x:v>0</x:v>
      </x:c>
      <x:c r="C7" s="21" t="n">
        <x:v>0</x:v>
      </x:c>
      <x:c r="D7" s="21" t="str">
        <x:f>IF(COUNTA('Hook反馈'!$A$5:$A$504)=0,"待录入",IF(B7=0,"通过","失败"))</x:f>
        <x:v>待录入</x:v>
      </x:c>
      <x:c r="E7" s="23" t="str">
        <x:v>每个 Hook 使用稳定且唯一的匿名 ID。</x:v>
      </x:c>
    </x:row>
    <x:row r="8">
      <x:c r="A8" s="21" t="str">
        <x:v>无效参与者引用</x:v>
      </x:c>
      <x:c r="B8" s="21" t="n">
        <x:f>COUNTIF('任务记录'!$Z$5:$Z$104,FALSE)</x:f>
        <x:v>0</x:v>
      </x:c>
      <x:c r="C8" s="21" t="n">
        <x:v>0</x:v>
      </x:c>
      <x:c r="D8" s="21" t="str">
        <x:f>IF(COUNTA('任务记录'!$A$5:$A$104)=0,"待录入",IF(B8=0,"通过","失败"))</x:f>
        <x:v>待录入</x:v>
      </x:c>
      <x:c r="E8" s="23" t="str">
        <x:v>任务 participant_id 必须在参与者表唯一存在。</x:v>
      </x:c>
    </x:row>
    <x:row r="9">
      <x:c r="A9" s="21" t="str">
        <x:v>无效任务引用</x:v>
      </x:c>
      <x:c r="B9" s="21" t="n">
        <x:f>COUNTIF('Hook反馈'!$J$5:$J$504,FALSE)</x:f>
        <x:v>0</x:v>
      </x:c>
      <x:c r="C9" s="21" t="n">
        <x:v>0</x:v>
      </x:c>
      <x:c r="D9" s="21" t="str">
        <x:f>IF(COUNTA('Hook反馈'!$A$5:$A$504)=0,"待录入",IF(B9=0,"通过","失败"))</x:f>
        <x:v>待录入</x:v>
      </x:c>
      <x:c r="E9" s="23" t="str">
        <x:v>逐 Hook task_id 必须在任务记录唯一存在。</x:v>
      </x:c>
    </x:row>
    <x:row r="10">
      <x:c r="A10" s="21" t="str">
        <x:v>单任务多选</x:v>
      </x:c>
      <x:c r="B10" s="21" t="n">
        <x:f>COUNTIF('Hook反馈'!$K$5:$K$504,"&gt;1")</x:f>
        <x:v>0</x:v>
      </x:c>
      <x:c r="C10" s="21" t="n">
        <x:v>0</x:v>
      </x:c>
      <x:c r="D10" s="21" t="str">
        <x:f>IF(COUNTA('Hook反馈'!$A$5:$A$504)=0,"待录入",IF(B10=0,"通过","失败"))</x:f>
        <x:v>待录入</x:v>
      </x:c>
      <x:c r="E10" s="23" t="str">
        <x:v>一个有效任务最多一个最终选择。</x:v>
      </x:c>
    </x:row>
    <x:row r="11">
      <x:c r="A11" s="21" t="str">
        <x:v>任务选择不一致</x:v>
      </x:c>
      <x:c r="B11" s="21" t="n">
        <x:f>COUNTIF('任务记录'!$AA$5:$AA$104,FALSE)</x:f>
        <x:v>0</x:v>
      </x:c>
      <x:c r="C11" s="21" t="n">
        <x:v>0</x:v>
      </x:c>
      <x:c r="D11" s="21" t="str">
        <x:f>IF(COUNTA('任务记录'!$N$5:$N$104)=0,"待录入",IF(B11=0,"通过","失败"))</x:f>
        <x:v>待录入</x:v>
      </x:c>
      <x:c r="E11" s="23" t="str">
        <x:v>selected_hook_id 必须对应同任务唯一 selected=true。</x:v>
      </x:c>
    </x:row>
    <x:row r="12">
      <x:c r="A12" s="21" t="str">
        <x:v>未授权却确认发布</x:v>
      </x:c>
      <x:c r="B12" s="21" t="n">
        <x:f>COUNTIFS('任务记录'!$S$5:$S$104,"false",'任务记录'!$T$5:$T$104,"true")</x:f>
        <x:v>0</x:v>
      </x:c>
      <x:c r="C12" s="21" t="n">
        <x:v>0</x:v>
      </x:c>
      <x:c r="D12" s="21" t="str">
        <x:f>IF(COUNTA('任务记录'!$A$5:$A$104)=0,"待录入",IF(B12=0,"通过","失败"))</x:f>
        <x:v>待录入</x:v>
      </x:c>
      <x:c r="E12" s="23" t="str">
        <x:v>撤销发布确认并检查回访授权。</x:v>
      </x:c>
    </x:row>
    <x:row r="13">
      <x:c r="A13" s="21" t="str">
        <x:v>非 real_user 来源</x:v>
      </x:c>
      <x:c r="B13" s="21" t="n">
        <x:f>COUNTIFS('任务记录'!$A$5:$A$104,"&lt;&gt;",'任务记录'!$C$5:$C$104,"&lt;&gt;real_user")</x:f>
        <x:v>0</x:v>
      </x:c>
      <x:c r="C13" s="21" t="n">
        <x:v>0</x:v>
      </x:c>
      <x:c r="D13" s="21" t="str">
        <x:f>IF(COUNTA('任务记录'!$A$5:$A$104)=0,"待录入",IF(B13=0,"通过","失败"))</x:f>
        <x:v>待录入</x:v>
      </x:c>
      <x:c r="E13" s="23" t="str">
        <x:v>模拟和离线评测必须保存在各自来源。</x:v>
      </x:c>
    </x:row>
    <x:row r="14">
      <x:c r="A14" s="21" t="str">
        <x:v>同意记录未通过 PII 检查</x:v>
      </x:c>
      <x:c r="B14" s="21" t="n">
        <x:f>COUNTIFS('参与者'!$C$5:$C$24,"consented",'参与者'!$I$5:$I$24,"&lt;&gt;passed")</x:f>
        <x:v>0</x:v>
      </x:c>
      <x:c r="C14" s="21" t="n">
        <x:v>0</x:v>
      </x:c>
      <x:c r="D14" s="21" t="str">
        <x:f>IF(COUNTIF('参与者'!$C$5:$C$24,"consented")=0,"待录入",IF(B14=0,"通过","失败"))</x:f>
        <x:v>待录入</x:v>
      </x:c>
      <x:c r="E14" s="23" t="str">
        <x:v>完成脱敏复核后才能进入任务执行。</x:v>
      </x:c>
    </x:row>
  </x:sheetData>
  <x:mergeCells>
    <x:mergeCell ref="A1:E1"/>
    <x:mergeCell ref="A2:E2"/>
  </x:mergeCells>
  <x:conditionalFormatting sqref="D5:D14">
    <x:cfRule type="containsText" dxfId="0" priority="1" operator="containsText" text="失败"/>
    <x:cfRule type="containsText" dxfId="1" priority="2" operator="containsText" text="通过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2" hidden="0" customWidth="1"/>
    <x:col min="4" max="4" width="48" hidden="0" customWidth="1"/>
    <x:col min="5" max="5" width="22" hidden="0" customWidth="1"/>
    <x:col min="6" max="6" width="58" hidden="0" customWidth="1"/>
  </x:cols>
  <x:sheetData>
    <x:row r="1" ht="34" customHeight="1">
      <x:c r="A1" s="3" t="str">
        <x:v>字段与枚举字典</x:v>
      </x:c>
      <x:c r="B1" s="3" t="str">
        <x:v>字段与枚举字典</x:v>
      </x:c>
      <x:c r="C1" s="3" t="str">
        <x:v>字段与枚举字典</x:v>
      </x:c>
      <x:c r="D1" s="3" t="str">
        <x:v>字段与枚举字典</x:v>
      </x:c>
      <x:c r="E1" s="3" t="str">
        <x:v>字段与枚举字典</x:v>
      </x:c>
      <x:c r="F1" s="3" t="str">
        <x:v>字段与枚举字典</x:v>
      </x:c>
    </x:row>
    <x:row r="2" ht="30" customHeight="1">
      <x:c r="A2" s="7" t="str">
        <x:v>字段名保持机器可读；中文说明定义填写责任、合法值与隐私边界。</x:v>
      </x:c>
      <x:c r="B2" s="7" t="str">
        <x:v>字段名保持机器可读；中文说明定义填写责任、合法值与隐私边界。</x:v>
      </x:c>
      <x:c r="C2" s="7" t="str">
        <x:v>字段名保持机器可读；中文说明定义填写责任、合法值与隐私边界。</x:v>
      </x:c>
      <x:c r="D2" s="7" t="str">
        <x:v>字段名保持机器可读；中文说明定义填写责任、合法值与隐私边界。</x:v>
      </x:c>
      <x:c r="E2" s="7" t="str">
        <x:v>字段名保持机器可读；中文说明定义填写责任、合法值与隐私边界。</x:v>
      </x:c>
      <x:c r="F2" s="7" t="str">
        <x:v>字段名保持机器可读；中文说明定义填写责任、合法值与隐私边界。</x:v>
      </x:c>
    </x:row>
    <x:row r="4" ht="32" customHeight="1">
      <x:c r="A4" s="14" t="str">
        <x:v>工作表</x:v>
      </x:c>
      <x:c r="B4" s="54" t="str">
        <x:v>字段</x:v>
      </x:c>
      <x:c r="C4" s="54" t="str">
        <x:v>必填条件</x:v>
      </x:c>
      <x:c r="D4" s="54" t="str">
        <x:v>类型或枚举</x:v>
      </x:c>
      <x:c r="E4" s="54" t="str">
        <x:v>用途</x:v>
      </x:c>
      <x:c r="F4" s="15" t="str">
        <x:v>隐私与证据边界</x:v>
      </x:c>
    </x:row>
    <x:row r="5">
      <x:c r="A5" s="20" t="str">
        <x:v>参与者</x:v>
      </x:c>
      <x:c r="B5" s="20" t="str">
        <x:v>participant_id</x:v>
      </x:c>
      <x:c r="C5" s="22" t="str">
        <x:v>参与研究时必填</x:v>
      </x:c>
      <x:c r="D5" s="22" t="str">
        <x:v>匿名编码，如 P001</x:v>
      </x:c>
      <x:c r="E5" s="22" t="str">
        <x:v>关联任务</x:v>
      </x:c>
      <x:c r="F5" s="22" t="str">
        <x:v>不得包含姓名、账号或联系方式</x:v>
      </x:c>
    </x:row>
    <x:row r="6">
      <x:c r="A6" s="21" t="str">
        <x:v>参与者</x:v>
      </x:c>
      <x:c r="B6" s="21" t="str">
        <x:v>screening_status</x:v>
      </x:c>
      <x:c r="C6" s="23" t="str">
        <x:v>必填</x:v>
      </x:c>
      <x:c r="D6" s="23" t="str">
        <x:v>pending / eligible / ineligible</x:v>
      </x:c>
      <x:c r="E6" s="23" t="str">
        <x:v>招募筛选</x:v>
      </x:c>
      <x:c r="F6" s="23" t="str">
        <x:v>筛选不通过者不进入任务</x:v>
      </x:c>
    </x:row>
    <x:row r="7">
      <x:c r="A7" s="21" t="str">
        <x:v>参与者</x:v>
      </x:c>
      <x:c r="B7" s="21" t="str">
        <x:v>consent_status</x:v>
      </x:c>
      <x:c r="C7" s="23" t="str">
        <x:v>必填</x:v>
      </x:c>
      <x:c r="D7" s="23" t="str">
        <x:v>pending / consented / declined</x:v>
      </x:c>
      <x:c r="E7" s="23" t="str">
        <x:v>知情同意</x:v>
      </x:c>
      <x:c r="F7" s="23" t="str">
        <x:v>未同意不得记录任务</x:v>
      </x:c>
    </x:row>
    <x:row r="8">
      <x:c r="A8" s="21" t="str">
        <x:v>参与者</x:v>
      </x:c>
      <x:c r="B8" s="21" t="str">
        <x:v>recent_publish_count_30d</x:v>
      </x:c>
      <x:c r="C8" s="23" t="str">
        <x:v>筛选时必填</x:v>
      </x:c>
      <x:c r="D8" s="23" t="str">
        <x:v>非负整数</x:v>
      </x:c>
      <x:c r="E8" s="23" t="str">
        <x:v>确认目标用户资格</x:v>
      </x:c>
      <x:c r="F8" s="23" t="str">
        <x:v>只记录计数，不记录账号或作品链接</x:v>
      </x:c>
    </x:row>
    <x:row r="9">
      <x:c r="A9" s="21" t="str">
        <x:v>参与者</x:v>
      </x:c>
      <x:c r="B9" s="21" t="str">
        <x:v>pii_check</x:v>
      </x:c>
      <x:c r="C9" s="23" t="str">
        <x:v>同意后必填</x:v>
      </x:c>
      <x:c r="D9" s="23" t="str">
        <x:v>pending / passed / failed</x:v>
      </x:c>
      <x:c r="E9" s="23" t="str">
        <x:v>脱敏复核</x:v>
      </x:c>
      <x:c r="F9" s="23" t="str">
        <x:v>failed 必须停止录入</x:v>
      </x:c>
    </x:row>
    <x:row r="10">
      <x:c r="A10" s="21" t="str">
        <x:v>任务记录</x:v>
      </x:c>
      <x:c r="B10" s="21" t="str">
        <x:v>task_id</x:v>
      </x:c>
      <x:c r="C10" s="23" t="str">
        <x:v>每个任务必填</x:v>
      </x:c>
      <x:c r="D10" s="23" t="str">
        <x:v>匿名唯一编码</x:v>
      </x:c>
      <x:c r="E10" s="23" t="str">
        <x:v>主关联键</x:v>
      </x:c>
      <x:c r="F10" s="23" t="str">
        <x:v>不得从简历数字反推</x:v>
      </x:c>
    </x:row>
    <x:row r="11">
      <x:c r="A11" s="21" t="str">
        <x:v>任务记录</x:v>
      </x:c>
      <x:c r="B11" s="21" t="str">
        <x:v>data_origin</x:v>
      </x:c>
      <x:c r="C11" s="23" t="str">
        <x:v>必填</x:v>
      </x:c>
      <x:c r="D11" s="23" t="str">
        <x:v>real_user</x:v>
      </x:c>
      <x:c r="E11" s="23" t="str">
        <x:v>来源隔离</x:v>
      </x:c>
      <x:c r="F11" s="23" t="str">
        <x:v>不得与 simulation 或 evaluation_set 合并</x:v>
      </x:c>
    </x:row>
    <x:row r="12">
      <x:c r="A12" s="21" t="str">
        <x:v>任务记录</x:v>
      </x:c>
      <x:c r="B12" s="21" t="str">
        <x:v>prompt_version</x:v>
      </x:c>
      <x:c r="C12" s="23" t="str">
        <x:v>生成开始前必填</x:v>
      </x:c>
      <x:c r="D12" s="23" t="str">
        <x:v>版本编码</x:v>
      </x:c>
      <x:c r="E12" s="23" t="str">
        <x:v>版本归因</x:v>
      </x:c>
      <x:c r="F12" s="23" t="str">
        <x:v>同任务不可混用多个版本</x:v>
      </x:c>
    </x:row>
    <x:row r="13">
      <x:c r="A13" s="21" t="str">
        <x:v>任务记录</x:v>
      </x:c>
      <x:c r="B13" s="21" t="str">
        <x:v>candidate_count_shown</x:v>
      </x:c>
      <x:c r="C13" s="23" t="str">
        <x:v>完整候选展示后必填</x:v>
      </x:c>
      <x:c r="D13" s="23" t="str">
        <x:v>5 或 10</x:v>
      </x:c>
      <x:c r="E13" s="23" t="str">
        <x:v>比较负担分析</x:v>
      </x:c>
      <x:c r="F13" s="23" t="str">
        <x:v>当前产品为 10；若未执行对照不可写 5 条结论</x:v>
      </x:c>
    </x:row>
    <x:row r="14">
      <x:c r="A14" s="21" t="str">
        <x:v>任务记录</x:v>
      </x:c>
      <x:c r="B14" s="21" t="str">
        <x:v>usage_outcome</x:v>
      </x:c>
      <x:c r="C14" s="23" t="str">
        <x:v>任务结束时必填</x:v>
      </x:c>
      <x:c r="D14" s="23" t="str">
        <x:v>direct_use / light_edit / heavy_rewrite / reference_only / abandoned</x:v>
      </x:c>
      <x:c r="E14" s="23" t="str">
        <x:v>采用分层</x:v>
      </x:c>
      <x:c r="F14" s="23" t="str">
        <x:v>不等于实际发布</x:v>
      </x:c>
    </x:row>
    <x:row r="15">
      <x:c r="A15" s="21" t="str">
        <x:v>任务记录</x:v>
      </x:c>
      <x:c r="B15" s="21" t="str">
        <x:v>comparison_burden_score</x:v>
      </x:c>
      <x:c r="C15" s="23" t="str">
        <x:v>任务结束时建议填写</x:v>
      </x:c>
      <x:c r="D15" s="23" t="str">
        <x:v>1–5</x:v>
      </x:c>
      <x:c r="E15" s="23" t="str">
        <x:v>主观负担</x:v>
      </x:c>
      <x:c r="F15" s="23" t="str">
        <x:v>必须结合任务时间解释</x:v>
      </x:c>
    </x:row>
    <x:row r="16">
      <x:c r="A16" s="21" t="str">
        <x:v>任务记录</x:v>
      </x:c>
      <x:c r="B16" s="21" t="str">
        <x:v>publish_followup_authorized</x:v>
      </x:c>
      <x:c r="C16" s="23" t="str">
        <x:v>回访前必填</x:v>
      </x:c>
      <x:c r="D16" s="23" t="str">
        <x:v>true / false</x:v>
      </x:c>
      <x:c r="E16" s="23" t="str">
        <x:v>发布率分母资格</x:v>
      </x:c>
      <x:c r="F16" s="23" t="str">
        <x:v>false 不得联系或进入分母</x:v>
      </x:c>
    </x:row>
    <x:row r="17">
      <x:c r="A17" s="21" t="str">
        <x:v>任务记录</x:v>
      </x:c>
      <x:c r="B17" s="21" t="str">
        <x:v>publish_confirmed</x:v>
      </x:c>
      <x:c r="C17" s="23" t="str">
        <x:v>回访后填写</x:v>
      </x:c>
      <x:c r="D17" s="23" t="str">
        <x:v>true / false</x:v>
      </x:c>
      <x:c r="E17" s="23" t="str">
        <x:v>实际发布分子</x:v>
      </x:c>
      <x:c r="F17" s="23" t="str">
        <x:v>必须有参与者确认，不能根据收藏或选择推断</x:v>
      </x:c>
    </x:row>
    <x:row r="18">
      <x:c r="A18" s="21" t="str">
        <x:v>任务记录</x:v>
      </x:c>
      <x:c r="B18" s="21" t="str">
        <x:v>exclusion_reason</x:v>
      </x:c>
      <x:c r="C18" s="23" t="str">
        <x:v>排除时必填</x:v>
      </x:c>
      <x:c r="D18" s="23" t="str">
        <x:v>白名单枚举</x:v>
      </x:c>
      <x:c r="E18" s="23" t="str">
        <x:v>排除审计</x:v>
      </x:c>
      <x:c r="F18" s="23" t="str">
        <x:v>排除任务仍保留原始记录</x:v>
      </x:c>
    </x:row>
    <x:row r="19">
      <x:c r="A19" s="21" t="str">
        <x:v>任务记录</x:v>
      </x:c>
      <x:c r="B19" s="21" t="str">
        <x:v>bad_case_tags</x:v>
      </x:c>
      <x:c r="C19" s="23" t="str">
        <x:v>发现问题时填写</x:v>
      </x:c>
      <x:c r="D19" s="23" t="str">
        <x:v>以 | 分隔的白名单标签</x:v>
      </x:c>
      <x:c r="E19" s="23" t="str">
        <x:v>问题分布</x:v>
      </x:c>
      <x:c r="F19" s="23" t="str">
        <x:v>不放自由敏感文本</x:v>
      </x:c>
    </x:row>
    <x:row r="20">
      <x:c r="A20" s="21" t="str">
        <x:v>Hook反馈</x:v>
      </x:c>
      <x:c r="B20" s="21" t="str">
        <x:v>hook_id</x:v>
      </x:c>
      <x:c r="C20" s="23" t="str">
        <x:v>每个候选必填</x:v>
      </x:c>
      <x:c r="D20" s="23" t="str">
        <x:v>匿名唯一编码</x:v>
      </x:c>
      <x:c r="E20" s="23" t="str">
        <x:v>逐 Hook 关联</x:v>
      </x:c>
      <x:c r="F20" s="23" t="str">
        <x:v>不得包含原始文案</x:v>
      </x:c>
    </x:row>
    <x:row r="21">
      <x:c r="A21" s="21" t="str">
        <x:v>Hook反馈</x:v>
      </x:c>
      <x:c r="B21" s="21" t="str">
        <x:v>favorited</x:v>
      </x:c>
      <x:c r="C21" s="23" t="str">
        <x:v>每个 Hook 必填</x:v>
      </x:c>
      <x:c r="D21" s="23" t="str">
        <x:v>true / false</x:v>
      </x:c>
      <x:c r="E21" s="23" t="str">
        <x:v>受控测试收藏</x:v>
      </x:c>
      <x:c r="F21" s="23" t="str">
        <x:v>收藏不等于采用</x:v>
      </x:c>
    </x:row>
    <x:row r="22">
      <x:c r="A22" s="21" t="str">
        <x:v>Hook反馈</x:v>
      </x:c>
      <x:c r="B22" s="21" t="str">
        <x:v>selected</x:v>
      </x:c>
      <x:c r="C22" s="23" t="str">
        <x:v>每个 Hook 必填</x:v>
      </x:c>
      <x:c r="D22" s="23" t="str">
        <x:v>true / false</x:v>
      </x:c>
      <x:c r="E22" s="23" t="str">
        <x:v>测试内最终选择</x:v>
      </x:c>
      <x:c r="F22" s="23" t="str">
        <x:v>每任务最多一个 true</x:v>
      </x:c>
    </x:row>
    <x:row r="23">
      <x:c r="A23" s="21" t="str">
        <x:v>Hook反馈</x:v>
      </x:c>
      <x:c r="B23" s="21" t="str">
        <x:v>guardrail_type</x:v>
      </x:c>
      <x:c r="C23" s="23" t="str">
        <x:v>触发时必填</x:v>
      </x:c>
      <x:c r="D23" s="23" t="str">
        <x:v>task_coverage / feedback_response / generation_completion / bad_case_distribution</x:v>
      </x:c>
      <x:c r="E23" s="23" t="str">
        <x:v>证据护栏</x:v>
      </x:c>
      <x:c r="F23" s="23" t="str">
        <x:v>多个值用 | 分隔</x:v>
      </x:c>
    </x:row>
  </x:sheetData>
  <x:mergeCells>
    <x:mergeCell ref="A1:F1"/>
    <x:mergeCell ref="A2:F2"/>
  </x:mergeCells>
  <x:pageMargins left="0.7" right="0.7" top="0.75" bottom="0.75" header="0.3" footer="0.3"/>
</x:worksheet>
</file>